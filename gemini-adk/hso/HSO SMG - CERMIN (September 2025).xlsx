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astrainternational-my.sharepoint.com/personal/delaneira_advenaranda_hso_astra_co_id/Documents/MARKETING INSIGHT/CERMIN/September/"/>
    </mc:Choice>
  </mc:AlternateContent>
  <xr:revisionPtr revIDLastSave="679" documentId="11_F25DC773A252ABDACC10485F399D47FE5BDE58EE" xr6:coauthVersionLast="47" xr6:coauthVersionMax="47" xr10:uidLastSave="{AE1E2112-4F94-49D1-B539-10797087BC6C}"/>
  <bookViews>
    <workbookView xWindow="-110" yWindow="-110" windowWidth="19420" windowHeight="11500" xr2:uid="{00000000-000D-0000-FFFF-FFFF00000000}"/>
  </bookViews>
  <sheets>
    <sheet name="Forecast per Kabupaten" sheetId="4" r:id="rId1"/>
    <sheet name="Database" sheetId="3" r:id="rId2"/>
    <sheet name="Pivot" sheetId="6" r:id="rId3"/>
  </sheets>
  <externalReferences>
    <externalReference r:id="rId4"/>
    <externalReference r:id="rId5"/>
  </externalReferences>
  <calcPr calcId="191029"/>
  <pivotCaches>
    <pivotCache cacheId="4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2" i="3"/>
  <c r="C170" i="6" l="1"/>
  <c r="C172" i="6"/>
  <c r="C176" i="6"/>
  <c r="C179" i="6"/>
  <c r="C186" i="6"/>
  <c r="C187" i="6"/>
  <c r="C192" i="6"/>
  <c r="C197" i="6"/>
  <c r="C199" i="6"/>
  <c r="C200" i="6"/>
  <c r="C201" i="6"/>
  <c r="C203" i="6"/>
  <c r="C194" i="6"/>
  <c r="C205" i="6"/>
  <c r="C207" i="6"/>
  <c r="C173" i="6"/>
  <c r="C171" i="6"/>
  <c r="C206" i="6"/>
  <c r="C211" i="6"/>
  <c r="C210" i="6"/>
  <c r="C178" i="6"/>
  <c r="C208" i="6"/>
  <c r="C188" i="6"/>
  <c r="C189" i="6"/>
  <c r="C190" i="6"/>
  <c r="C204" i="6"/>
  <c r="C185" i="6" l="1"/>
  <c r="C198" i="6"/>
  <c r="C183" i="6"/>
  <c r="C196" i="6"/>
  <c r="C181" i="6"/>
  <c r="C184" i="6"/>
  <c r="C212" i="6"/>
  <c r="C182" i="6"/>
  <c r="C195" i="6"/>
  <c r="C209" i="6"/>
  <c r="C193" i="6"/>
  <c r="C177" i="6"/>
  <c r="C175" i="6"/>
  <c r="C174" i="6"/>
  <c r="C9" i="6"/>
  <c r="F19" i="4"/>
  <c r="F20" i="4"/>
  <c r="F21" i="4"/>
  <c r="F23" i="4"/>
  <c r="F22" i="4"/>
  <c r="F24" i="4"/>
  <c r="F26" i="4"/>
  <c r="F25" i="4"/>
  <c r="F27" i="4"/>
  <c r="F28" i="4"/>
  <c r="F18" i="4"/>
  <c r="H29" i="4"/>
  <c r="E29" i="4"/>
  <c r="F29" i="4" l="1"/>
  <c r="F9" i="4"/>
  <c r="F14" i="4"/>
  <c r="F16" i="4"/>
  <c r="F17" i="4"/>
  <c r="F4" i="4"/>
  <c r="F5" i="4"/>
  <c r="F6" i="4"/>
  <c r="F7" i="4"/>
  <c r="F8" i="4"/>
  <c r="F10" i="4"/>
  <c r="F11" i="4"/>
  <c r="F12" i="4"/>
  <c r="F13" i="4"/>
  <c r="F15" i="4"/>
  <c r="C6" i="6"/>
  <c r="C7" i="6"/>
  <c r="C8" i="6"/>
  <c r="C10" i="6"/>
  <c r="C11" i="6"/>
  <c r="C12" i="6"/>
  <c r="C13" i="6"/>
  <c r="C14" i="6"/>
  <c r="C16" i="6"/>
  <c r="C17" i="6"/>
  <c r="C18" i="6"/>
  <c r="C19" i="6"/>
  <c r="C20" i="6"/>
  <c r="C21" i="6"/>
  <c r="C22" i="6"/>
  <c r="C23" i="6"/>
  <c r="C24" i="6"/>
  <c r="C25" i="6"/>
  <c r="C27" i="6"/>
  <c r="C28" i="6"/>
  <c r="C29" i="6"/>
  <c r="C30" i="6"/>
  <c r="C31" i="6"/>
  <c r="C32" i="6"/>
  <c r="C33" i="6"/>
  <c r="C34" i="6"/>
  <c r="C35" i="6"/>
  <c r="C36" i="6"/>
  <c r="C38" i="6"/>
  <c r="C39" i="6"/>
  <c r="C40" i="6"/>
  <c r="C41" i="6"/>
  <c r="C42" i="6"/>
  <c r="C43" i="6"/>
  <c r="C44" i="6"/>
  <c r="C45" i="6"/>
  <c r="C46" i="6"/>
  <c r="C47" i="6"/>
  <c r="C49" i="6"/>
  <c r="C50" i="6"/>
  <c r="C51" i="6"/>
  <c r="C52" i="6"/>
  <c r="C53" i="6"/>
  <c r="C54" i="6"/>
  <c r="C55" i="6"/>
  <c r="C56" i="6"/>
  <c r="C57" i="6"/>
  <c r="C58" i="6"/>
  <c r="C60" i="6"/>
  <c r="C61" i="6"/>
  <c r="C62" i="6"/>
  <c r="C63" i="6"/>
  <c r="C64" i="6"/>
  <c r="C65" i="6"/>
  <c r="C66" i="6"/>
  <c r="C67" i="6"/>
  <c r="C68" i="6"/>
  <c r="C69" i="6"/>
  <c r="C71" i="6"/>
  <c r="C72" i="6"/>
  <c r="C73" i="6"/>
  <c r="C74" i="6"/>
  <c r="C75" i="6"/>
  <c r="C76" i="6"/>
  <c r="C77" i="6"/>
  <c r="C78" i="6"/>
  <c r="C79" i="6"/>
  <c r="C80" i="6"/>
  <c r="C82" i="6"/>
  <c r="C83" i="6"/>
  <c r="C84" i="6"/>
  <c r="C85" i="6"/>
  <c r="C86" i="6"/>
  <c r="C87" i="6"/>
  <c r="C88" i="6"/>
  <c r="C89" i="6"/>
  <c r="C90" i="6"/>
  <c r="C91" i="6"/>
  <c r="C93" i="6"/>
  <c r="C94" i="6"/>
  <c r="C95" i="6"/>
  <c r="C96" i="6"/>
  <c r="C97" i="6"/>
  <c r="C98" i="6"/>
  <c r="C99" i="6"/>
  <c r="C100" i="6"/>
  <c r="C101" i="6"/>
  <c r="C102" i="6"/>
  <c r="C104" i="6"/>
  <c r="C105" i="6"/>
  <c r="C106" i="6"/>
  <c r="C107" i="6"/>
  <c r="C108" i="6"/>
  <c r="C109" i="6"/>
  <c r="C110" i="6"/>
  <c r="C111" i="6"/>
  <c r="C112" i="6"/>
  <c r="C113" i="6"/>
  <c r="C115" i="6"/>
  <c r="C116" i="6"/>
  <c r="C117" i="6"/>
  <c r="C118" i="6"/>
  <c r="C119" i="6"/>
  <c r="C120" i="6"/>
  <c r="C121" i="6"/>
  <c r="C122" i="6"/>
  <c r="C123" i="6"/>
  <c r="C124" i="6"/>
  <c r="C126" i="6"/>
  <c r="C127" i="6"/>
  <c r="C128" i="6"/>
  <c r="C129" i="6"/>
  <c r="C130" i="6"/>
  <c r="C131" i="6"/>
  <c r="C132" i="6"/>
  <c r="C133" i="6"/>
  <c r="C134" i="6"/>
  <c r="C135" i="6"/>
  <c r="C137" i="6"/>
  <c r="C138" i="6"/>
  <c r="C139" i="6"/>
  <c r="C140" i="6"/>
  <c r="C141" i="6"/>
  <c r="C142" i="6"/>
  <c r="C143" i="6"/>
  <c r="C144" i="6"/>
  <c r="C145" i="6"/>
  <c r="C146" i="6"/>
  <c r="C148" i="6"/>
  <c r="C149" i="6"/>
  <c r="C150" i="6"/>
  <c r="C151" i="6"/>
  <c r="C152" i="6"/>
  <c r="C153" i="6"/>
  <c r="C154" i="6"/>
  <c r="C155" i="6"/>
  <c r="C156" i="6"/>
  <c r="C157" i="6"/>
  <c r="C159" i="6"/>
  <c r="C160" i="6"/>
  <c r="C161" i="6"/>
  <c r="C162" i="6"/>
  <c r="C163" i="6"/>
  <c r="C164" i="6"/>
  <c r="C165" i="6"/>
  <c r="C166" i="6"/>
  <c r="C167" i="6"/>
  <c r="C168" i="6"/>
  <c r="C5" i="6"/>
</calcChain>
</file>

<file path=xl/sharedStrings.xml><?xml version="1.0" encoding="utf-8"?>
<sst xmlns="http://schemas.openxmlformats.org/spreadsheetml/2006/main" count="654" uniqueCount="82">
  <si>
    <t>Kota/ Kabupaten BPS</t>
  </si>
  <si>
    <t>POLREG</t>
  </si>
  <si>
    <t>Growth MoM</t>
  </si>
  <si>
    <t>Curah Hujan Harian</t>
  </si>
  <si>
    <t>Nilai Tukar Petani</t>
  </si>
  <si>
    <t>External Factor</t>
  </si>
  <si>
    <t>Period</t>
  </si>
  <si>
    <t>Region/ Regency</t>
  </si>
  <si>
    <t>%Influence</t>
  </si>
  <si>
    <t>Worker</t>
  </si>
  <si>
    <t>Jumlah Pekerja Di Sektor O Administrasi Pemerintahan Pertahanan Dan Jaminan Sosial W</t>
  </si>
  <si>
    <t>PDRB ADHK Administrasi Pemerintahan Pertahanan Jamsos</t>
  </si>
  <si>
    <t>Jumlah Pekerja Di Sektor J Informasi Dan Komunikasi</t>
  </si>
  <si>
    <t>Jumlah Pekerja Di Sektor G Perdagangan Besar Dan Eceran Reparasi Dan Perawatan Mobil Sepeda Motor</t>
  </si>
  <si>
    <t>PDRB ADHK Perdagangan Besar Eceran Reparasi Mobil Motor</t>
  </si>
  <si>
    <t>Grand Total</t>
  </si>
  <si>
    <t>%Market Cont 2024</t>
  </si>
  <si>
    <t>Kodya Semarang</t>
  </si>
  <si>
    <t>Kota Semarang</t>
  </si>
  <si>
    <t>Brebes</t>
  </si>
  <si>
    <t>Kab. Brebes</t>
  </si>
  <si>
    <t>Tegal</t>
  </si>
  <si>
    <t>Kab. Tegal</t>
  </si>
  <si>
    <t>Kota Tegal</t>
  </si>
  <si>
    <t>Demak</t>
  </si>
  <si>
    <t>Kab. Demak</t>
  </si>
  <si>
    <t>Grobogan</t>
  </si>
  <si>
    <t>Kab. Grobogan</t>
  </si>
  <si>
    <t>Kendal</t>
  </si>
  <si>
    <t>Kab. Kendal</t>
  </si>
  <si>
    <t>Pemalang</t>
  </si>
  <si>
    <t>Kab. Pemalang</t>
  </si>
  <si>
    <t>Jepara</t>
  </si>
  <si>
    <t>Kab. Jepara</t>
  </si>
  <si>
    <t>Pekalongan</t>
  </si>
  <si>
    <t>Kab. Pekalongan</t>
  </si>
  <si>
    <t>Kota Pekalongan</t>
  </si>
  <si>
    <t>Kab. Smg &amp; Salatiga</t>
  </si>
  <si>
    <t>Kab. Semarang</t>
  </si>
  <si>
    <t>Kota Salatiga</t>
  </si>
  <si>
    <t>Pati</t>
  </si>
  <si>
    <t>Kab. Pati</t>
  </si>
  <si>
    <t>Klaten</t>
  </si>
  <si>
    <t>Kab. Klaten</t>
  </si>
  <si>
    <t>Kudus</t>
  </si>
  <si>
    <t>Kab. Kudus</t>
  </si>
  <si>
    <t>Sragen</t>
  </si>
  <si>
    <t>Kab. Sragen</t>
  </si>
  <si>
    <t>Boyolali</t>
  </si>
  <si>
    <t>Kab. Boyolali</t>
  </si>
  <si>
    <t>Karanganyar</t>
  </si>
  <si>
    <t>Kab. Karanganyar</t>
  </si>
  <si>
    <t>Sukoharjo</t>
  </si>
  <si>
    <t>Kab. Sukoharjo</t>
  </si>
  <si>
    <t>Batang</t>
  </si>
  <si>
    <t>Kab. Batang</t>
  </si>
  <si>
    <t>Blora</t>
  </si>
  <si>
    <t>Kab. Blora</t>
  </si>
  <si>
    <t>Solo</t>
  </si>
  <si>
    <t>Kota Surakarta</t>
  </si>
  <si>
    <t>Wonogiri</t>
  </si>
  <si>
    <t>Kab. Wonogiri</t>
  </si>
  <si>
    <t>Rembang</t>
  </si>
  <si>
    <t>Kab. Rembang</t>
  </si>
  <si>
    <t>HSO Jawa Tengah</t>
  </si>
  <si>
    <t>Occupancy Hotel</t>
  </si>
  <si>
    <t>Flag Dry Season</t>
  </si>
  <si>
    <t>Cat Padi</t>
  </si>
  <si>
    <t>Jumlah Pekerja Di Sektor H Transportasi Dan Pergudangan</t>
  </si>
  <si>
    <t>Jumlah Pekerja Di Sektor C Industri Pengolahan</t>
  </si>
  <si>
    <t>Jumlah Penduduk</t>
  </si>
  <si>
    <t>PDRB ADHK Transportasi Pergudangan</t>
  </si>
  <si>
    <t>PDRB ADHK Konstruksi</t>
  </si>
  <si>
    <t>Jumlah Pekerja Di Sektor L Real Estat</t>
  </si>
  <si>
    <t>PDRB ADHK Industri Pengolahan</t>
  </si>
  <si>
    <t>Jumlah Pekerja Di Sektor F Konstruksi</t>
  </si>
  <si>
    <t>External Variables</t>
  </si>
  <si>
    <t>&amp;Influence</t>
  </si>
  <si>
    <t>%Market Cont YTD Jul 2025</t>
  </si>
  <si>
    <t>Forecast Sept 2025</t>
  </si>
  <si>
    <t>Act Aug 2025</t>
  </si>
  <si>
    <t>Cat Tembakau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</si>
</sst>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b/>
      <sz val="11"/>
      <name val="Aptos"/>
      <family val="2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ptos Narrow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5" borderId="4" applyNumberFormat="0" applyAlignment="0" applyProtection="0"/>
  </cellStyleXfs>
  <cellXfs count="39">
    <xf numFmtId="0" fontId="0" fillId="0" borderId="0" xfId="0"/>
    <xf numFmtId="165" fontId="0" fillId="0" borderId="0" xfId="2" applyNumberFormat="1" applyFont="1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165" fontId="4" fillId="0" borderId="2" xfId="2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2" xfId="0" applyFont="1" applyFill="1" applyBorder="1" applyAlignment="1">
      <alignment vertical="center"/>
    </xf>
    <xf numFmtId="165" fontId="4" fillId="0" borderId="0" xfId="2" applyNumberFormat="1" applyFont="1" applyAlignment="1">
      <alignment vertical="center"/>
    </xf>
    <xf numFmtId="17" fontId="0" fillId="0" borderId="0" xfId="0" applyNumberFormat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5" fontId="0" fillId="0" borderId="2" xfId="2" applyNumberFormat="1" applyFont="1" applyFill="1" applyBorder="1" applyAlignment="1">
      <alignment horizontal="center" vertical="center"/>
    </xf>
    <xf numFmtId="165" fontId="0" fillId="2" borderId="2" xfId="2" applyNumberFormat="1" applyFont="1" applyFill="1" applyBorder="1" applyAlignment="1">
      <alignment horizontal="center" vertical="center"/>
    </xf>
    <xf numFmtId="0" fontId="0" fillId="0" borderId="2" xfId="0" applyBorder="1"/>
    <xf numFmtId="165" fontId="0" fillId="0" borderId="2" xfId="2" applyNumberFormat="1" applyFont="1" applyBorder="1" applyAlignment="1">
      <alignment horizontal="center" vertical="center"/>
    </xf>
    <xf numFmtId="0" fontId="7" fillId="0" borderId="3" xfId="0" applyFont="1" applyBorder="1"/>
    <xf numFmtId="164" fontId="0" fillId="0" borderId="2" xfId="1" applyFont="1" applyFill="1" applyBorder="1"/>
    <xf numFmtId="164" fontId="8" fillId="0" borderId="3" xfId="0" applyNumberFormat="1" applyFont="1" applyBorder="1"/>
    <xf numFmtId="164" fontId="9" fillId="5" borderId="5" xfId="3" applyNumberFormat="1" applyFont="1" applyBorder="1"/>
    <xf numFmtId="165" fontId="2" fillId="0" borderId="0" xfId="2" applyNumberFormat="1" applyFont="1" applyAlignment="1">
      <alignment horizontal="center" vertical="center"/>
    </xf>
    <xf numFmtId="0" fontId="7" fillId="6" borderId="0" xfId="0" applyFont="1" applyFill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5" fontId="0" fillId="0" borderId="3" xfId="2" applyNumberFormat="1" applyFont="1" applyFill="1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0" fillId="2" borderId="3" xfId="2" applyNumberFormat="1" applyFont="1" applyFill="1" applyBorder="1" applyAlignment="1">
      <alignment horizontal="center" vertical="center"/>
    </xf>
    <xf numFmtId="165" fontId="0" fillId="2" borderId="1" xfId="2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NumberFormat="1"/>
  </cellXfs>
  <cellStyles count="4">
    <cellStyle name="Comma [0]" xfId="1" builtinId="6"/>
    <cellStyle name="Normal" xfId="0" builtinId="0"/>
    <cellStyle name="Output" xfId="3" builtinId="21"/>
    <cellStyle name="Percent" xfId="2" builtinId="5"/>
  </cellStyles>
  <dxfs count="4">
    <dxf>
      <font>
        <color rgb="FF006100"/>
      </font>
      <fill>
        <patternFill>
          <bgColor rgb="FFC6EF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strainternational-my.sharepoint.com/personal/delaneira_advenaranda_hso_astra_co_id/Documents/MARKETING%20INSIGHT/CERMIN/List%20External%20Variables%20HSO%20All%20Region.xlsx" TargetMode="External"/><Relationship Id="rId1" Type="http://schemas.openxmlformats.org/officeDocument/2006/relationships/externalLinkPath" Target="List%20External%20Variables%20HSO%20All%20Re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strainternational-my.sharepoint.com/personal/delaneira_advenaranda_hso_astra_co_id/Documents/MARKETING%20INSIGHT/CERMIN/List%20External%20Variables%20HSO%20All%20Region.xlsx" TargetMode="External"/><Relationship Id="rId1" Type="http://schemas.openxmlformats.org/officeDocument/2006/relationships/externalLinkPath" Target="/personal/delaneira_advenaranda_hso_astra_co_id/Documents/MARKETING%20INSIGHT/CERMIN/List%20External%20Variables%20HSO%20All%20Re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pping Ex Factor -&gt; CDB"/>
    </sheetNames>
    <sheetDataSet>
      <sheetData sheetId="0">
        <row r="2">
          <cell r="A2" t="str">
            <v>Apbd Pendapatan Daerah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pping Ex Factor -&gt; CDB"/>
      <sheetName val="List External Factor"/>
    </sheetNames>
    <sheetDataSet>
      <sheetData sheetId="0"/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vriel Benny" refreshedDate="45923.58378483796" createdVersion="8" refreshedVersion="8" minRefreshableVersion="3" recordCount="381" xr:uid="{247B68A4-0AB1-4C5E-AA6A-605F64AFE56E}">
  <cacheSource type="worksheet">
    <worksheetSource ref="A1:E1048576" sheet="Database"/>
  </cacheSource>
  <cacheFields count="5">
    <cacheField name="Period" numFmtId="0">
      <sharedItems containsNonDate="0" containsDate="1" containsString="0" containsBlank="1" minDate="2025-09-25T00:00:00" maxDate="2025-09-26T00:00:00" count="2">
        <d v="2025-09-25T00:00:00"/>
        <m/>
      </sharedItems>
    </cacheField>
    <cacheField name="Region/ Regency" numFmtId="0">
      <sharedItems containsBlank="1" count="20">
        <s v="HSO Jawa Tengah"/>
        <s v="Kota Semarang"/>
        <s v="Kab. Brebes"/>
        <s v="Kab. Tegal"/>
        <s v="Kota Tegal"/>
        <s v="Kab. Demak"/>
        <s v="Kab. Grobogan"/>
        <s v="Kab. Kendal"/>
        <s v="Kab. Pemalang"/>
        <s v="Kab. Jepara"/>
        <s v="Kab. Pekalongan"/>
        <s v="Kota Pekalongan"/>
        <s v="Kab. Semarang"/>
        <s v="Kota Salatiga"/>
        <s v="Kab. Pati"/>
        <s v="Kab. Klaten"/>
        <s v="Kab. Kudus"/>
        <s v="Kab. Sragen"/>
        <s v="Kab. Boyolali"/>
        <m/>
      </sharedItems>
    </cacheField>
    <cacheField name="External Factor" numFmtId="0">
      <sharedItems containsBlank="1" count="20">
        <s v="Curah Hujan Harian"/>
        <s v="Nilai Tukar Petani"/>
        <s v="Occupancy Hotel"/>
        <s v="Flag Dry Season"/>
        <s v="PDRB ADHK Transportasi Pergudangan"/>
        <s v="Cat Padi"/>
        <s v="Jumlah Pekerja Di Sektor H Transportasi Dan Pergudangan"/>
        <s v="Jumlah Pekerja Di Sektor C Industri Pengolahan"/>
        <s v="Jumlah Pekerja Di Sektor G Perdagangan Besar Dan Eceran Reparasi Dan Perawatan Mobil Sepeda Motor"/>
        <s v="Jumlah Pekerja Di Sektor F Konstruksi"/>
        <s v="Jumlah Penduduk"/>
        <s v="Jumlah Pekerja Di Sektor L Real Estat"/>
        <s v="PDRB ADHK Konstruksi"/>
        <s v="PDRB ADHK Perdagangan Besar Eceran Reparasi Mobil Motor"/>
        <s v="PDRB ADHK Industri Pengolahan"/>
        <s v="Cat Tembakau"/>
        <s v="Jumlah Pekerja Di Sektor O Administrasi Pemerintahan Pertahanan Dan Jaminan Sosial W"/>
        <s v="PDRB ADHK Administrasi Pemerintahan Pertahanan Jamsos"/>
        <s v="Jumlah Pekerja Di Sektor J Informasi Dan Komunikasi"/>
        <m/>
      </sharedItems>
    </cacheField>
    <cacheField name="%Influence" numFmtId="165">
      <sharedItems containsString="0" containsBlank="1" containsNumber="1" minValue="9.1000000000000004E-3" maxValue="0.28089999999999998"/>
    </cacheField>
    <cacheField name="Worker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x v="0"/>
    <x v="0"/>
    <x v="0"/>
    <n v="9.4799999999999995E-2"/>
    <s v="Petani;Petani/Nelayan;Pegawai Swasta-Pertanian;Wiraswasta-Pertanian;Nelayan"/>
  </r>
  <r>
    <x v="0"/>
    <x v="0"/>
    <x v="1"/>
    <n v="8.3799999999999999E-2"/>
    <s v="Petani;Petani/Nelayan;Pegawai Swasta-Pertanian;Wiraswasta-Pertanian"/>
  </r>
  <r>
    <x v="0"/>
    <x v="0"/>
    <x v="2"/>
    <n v="8.2000000000000003E-2"/>
    <s v="Pegawai Swasta-Perdagangan;Wiraswasta/Pedagang;Wiraswasta-Perdagangan"/>
  </r>
  <r>
    <x v="0"/>
    <x v="0"/>
    <x v="3"/>
    <n v="3.7499999999999999E-2"/>
    <s v="Petani;Petani/Nelayan;Pegawai Swasta-Pertanian;Wiraswasta-Pertanian"/>
  </r>
  <r>
    <x v="0"/>
    <x v="0"/>
    <x v="4"/>
    <n v="3.5200000000000002E-2"/>
    <s v="Ojek; Pegawai Swasta"/>
  </r>
  <r>
    <x v="0"/>
    <x v="0"/>
    <x v="5"/>
    <n v="2.9000000000000001E-2"/>
    <s v="Petani;Petani/Nelayan;Pegawai Swasta-Pertanian;Wiraswasta-Pertanian"/>
  </r>
  <r>
    <x v="0"/>
    <x v="0"/>
    <x v="6"/>
    <n v="2.6200000000000001E-2"/>
    <s v="Ojek; Pegawai Swasta"/>
  </r>
  <r>
    <x v="0"/>
    <x v="0"/>
    <x v="7"/>
    <n v="2.3800000000000002E-2"/>
    <s v="Pegawai Swasta;Pegawai Swasta-Industri;Wiraswasta-Industri"/>
  </r>
  <r>
    <x v="0"/>
    <x v="0"/>
    <x v="8"/>
    <n v="2.3400000000000001E-2"/>
    <s v="Pegawai Swasta-Perdagangan;Wiraswasta/Pedagang;Wiraswasta-Perdagangan"/>
  </r>
  <r>
    <x v="0"/>
    <x v="0"/>
    <x v="9"/>
    <n v="2.18E-2"/>
    <s v="Pegawai Swasta-Konstruksi;Wiraswasta-Konstruksi"/>
  </r>
  <r>
    <x v="0"/>
    <x v="1"/>
    <x v="4"/>
    <n v="0.28089999999999998"/>
    <s v="Ojek; Pegawai Swasta"/>
  </r>
  <r>
    <x v="0"/>
    <x v="1"/>
    <x v="8"/>
    <n v="6.6799999999999998E-2"/>
    <s v="Pegawai Swasta-Perdagangan;Wiraswasta/Pedagang;Wiraswasta-Perdagangan"/>
  </r>
  <r>
    <x v="0"/>
    <x v="1"/>
    <x v="7"/>
    <n v="6.0600000000000001E-2"/>
    <s v="Pegawai Swasta;Pegawai Swasta-Industri;Wiraswasta-Industri"/>
  </r>
  <r>
    <x v="0"/>
    <x v="1"/>
    <x v="10"/>
    <n v="4.7300000000000002E-2"/>
    <n v="0"/>
  </r>
  <r>
    <x v="0"/>
    <x v="1"/>
    <x v="0"/>
    <n v="4.53E-2"/>
    <s v="Petani;Petani/Nelayan;Pegawai Swasta-Pertanian;Wiraswasta-Pertanian;Nelayan"/>
  </r>
  <r>
    <x v="0"/>
    <x v="1"/>
    <x v="11"/>
    <n v="3.3399999999999999E-2"/>
    <s v="Pegawai Swasta-Jasa;Wiraswasta-Jasa"/>
  </r>
  <r>
    <x v="0"/>
    <x v="1"/>
    <x v="12"/>
    <n v="2.53E-2"/>
    <s v="Pegawai Swasta-Konstruksi;Wiraswasta-Konstruksi"/>
  </r>
  <r>
    <x v="0"/>
    <x v="1"/>
    <x v="1"/>
    <n v="2.35E-2"/>
    <s v="Petani;Petani/Nelayan;Pegawai Swasta-Pertanian;Wiraswasta-Pertanian"/>
  </r>
  <r>
    <x v="0"/>
    <x v="1"/>
    <x v="2"/>
    <n v="2.24E-2"/>
    <s v="Pegawai Swasta-Perdagangan;Wiraswasta/Pedagang;Wiraswasta-Perdagangan"/>
  </r>
  <r>
    <x v="0"/>
    <x v="1"/>
    <x v="9"/>
    <n v="1.0800000000000001E-2"/>
    <s v="Pegawai Swasta-Konstruksi;Wiraswasta-Konstruksi"/>
  </r>
  <r>
    <x v="0"/>
    <x v="2"/>
    <x v="3"/>
    <n v="0.15179999999999999"/>
    <s v="Petani;Petani/Nelayan;Pegawai Swasta-Pertanian;Wiraswasta-Pertanian"/>
  </r>
  <r>
    <x v="0"/>
    <x v="2"/>
    <x v="0"/>
    <n v="7.9899999999999999E-2"/>
    <s v="Petani;Petani/Nelayan;Pegawai Swasta-Pertanian;Wiraswasta-Pertanian;Nelayan"/>
  </r>
  <r>
    <x v="0"/>
    <x v="2"/>
    <x v="1"/>
    <n v="6.83E-2"/>
    <s v="Petani;Petani/Nelayan;Pegawai Swasta-Pertanian;Wiraswasta-Pertanian"/>
  </r>
  <r>
    <x v="0"/>
    <x v="2"/>
    <x v="2"/>
    <n v="6.6100000000000006E-2"/>
    <s v="Pegawai Swasta-Perdagangan;Wiraswasta/Pedagang;Wiraswasta-Perdagangan"/>
  </r>
  <r>
    <x v="0"/>
    <x v="2"/>
    <x v="5"/>
    <n v="3.9E-2"/>
    <s v="Petani;Petani/Nelayan;Pegawai Swasta-Pertanian;Wiraswasta-Pertanian"/>
  </r>
  <r>
    <x v="0"/>
    <x v="2"/>
    <x v="4"/>
    <n v="1.66E-2"/>
    <s v="Ojek; Pegawai Swasta"/>
  </r>
  <r>
    <x v="0"/>
    <x v="2"/>
    <x v="10"/>
    <n v="1.52E-2"/>
    <n v="0"/>
  </r>
  <r>
    <x v="0"/>
    <x v="2"/>
    <x v="7"/>
    <n v="1.52E-2"/>
    <s v="Pegawai Swasta;Pegawai Swasta-Industri;Wiraswasta-Industri"/>
  </r>
  <r>
    <x v="0"/>
    <x v="2"/>
    <x v="6"/>
    <n v="1.2200000000000001E-2"/>
    <s v="Ojek; Pegawai Swasta"/>
  </r>
  <r>
    <x v="0"/>
    <x v="2"/>
    <x v="13"/>
    <n v="1.1299999999999999E-2"/>
    <s v="Pegawai Swasta-Perdagangan;Wiraswasta/Pedagang;Wiraswasta-Perdagangan"/>
  </r>
  <r>
    <x v="0"/>
    <x v="3"/>
    <x v="0"/>
    <n v="0.1472"/>
    <s v="Petani;Petani/Nelayan;Pegawai Swasta-Pertanian;Wiraswasta-Pertanian;Nelayan"/>
  </r>
  <r>
    <x v="0"/>
    <x v="3"/>
    <x v="1"/>
    <n v="0.11119999999999999"/>
    <s v="Petani;Petani/Nelayan;Pegawai Swasta-Pertanian;Wiraswasta-Pertanian"/>
  </r>
  <r>
    <x v="0"/>
    <x v="3"/>
    <x v="2"/>
    <n v="9.1999999999999998E-2"/>
    <s v="Pegawai Swasta-Perdagangan;Wiraswasta/Pedagang;Wiraswasta-Perdagangan"/>
  </r>
  <r>
    <x v="0"/>
    <x v="3"/>
    <x v="7"/>
    <n v="2.3400000000000001E-2"/>
    <s v="Pegawai Swasta;Pegawai Swasta-Industri;Wiraswasta-Industri"/>
  </r>
  <r>
    <x v="0"/>
    <x v="3"/>
    <x v="12"/>
    <n v="1.9E-2"/>
    <s v="Pegawai Swasta-Konstruksi;Wiraswasta-Konstruksi"/>
  </r>
  <r>
    <x v="0"/>
    <x v="3"/>
    <x v="14"/>
    <n v="1.84E-2"/>
    <s v="Pegawai Swasta;Pegawai Swasta-Industri;Wiraswasta-Industri"/>
  </r>
  <r>
    <x v="0"/>
    <x v="3"/>
    <x v="4"/>
    <n v="1.8200000000000001E-2"/>
    <s v="Ojek; Pegawai Swasta"/>
  </r>
  <r>
    <x v="0"/>
    <x v="3"/>
    <x v="5"/>
    <n v="1.6400000000000001E-2"/>
    <s v="Petani;Petani/Nelayan;Pegawai Swasta-Pertanian;Wiraswasta-Pertanian"/>
  </r>
  <r>
    <x v="0"/>
    <x v="3"/>
    <x v="10"/>
    <n v="1.5599999999999999E-2"/>
    <n v="0"/>
  </r>
  <r>
    <x v="0"/>
    <x v="3"/>
    <x v="6"/>
    <n v="1.54E-2"/>
    <s v="Ojek; Pegawai Swasta"/>
  </r>
  <r>
    <x v="0"/>
    <x v="4"/>
    <x v="0"/>
    <n v="0.1472"/>
    <s v="Petani;Petani/Nelayan;Pegawai Swasta-Pertanian;Wiraswasta-Pertanian;Nelayan"/>
  </r>
  <r>
    <x v="0"/>
    <x v="4"/>
    <x v="1"/>
    <n v="0.11119999999999999"/>
    <s v="Petani;Petani/Nelayan;Pegawai Swasta-Pertanian;Wiraswasta-Pertanian"/>
  </r>
  <r>
    <x v="0"/>
    <x v="4"/>
    <x v="2"/>
    <n v="9.1999999999999998E-2"/>
    <s v="Pegawai Swasta-Perdagangan;Wiraswasta/Pedagang;Wiraswasta-Perdagangan"/>
  </r>
  <r>
    <x v="0"/>
    <x v="4"/>
    <x v="7"/>
    <n v="2.3400000000000001E-2"/>
    <s v="Pegawai Swasta;Pegawai Swasta-Industri;Wiraswasta-Industri"/>
  </r>
  <r>
    <x v="0"/>
    <x v="4"/>
    <x v="12"/>
    <n v="1.9E-2"/>
    <s v="Pegawai Swasta-Konstruksi;Wiraswasta-Konstruksi"/>
  </r>
  <r>
    <x v="0"/>
    <x v="4"/>
    <x v="14"/>
    <n v="1.84E-2"/>
    <s v="Pegawai Swasta;Pegawai Swasta-Industri;Wiraswasta-Industri"/>
  </r>
  <r>
    <x v="0"/>
    <x v="4"/>
    <x v="4"/>
    <n v="1.8200000000000001E-2"/>
    <s v="Ojek; Pegawai Swasta"/>
  </r>
  <r>
    <x v="0"/>
    <x v="4"/>
    <x v="5"/>
    <n v="1.6400000000000001E-2"/>
    <s v="Petani;Petani/Nelayan;Pegawai Swasta-Pertanian;Wiraswasta-Pertanian"/>
  </r>
  <r>
    <x v="0"/>
    <x v="4"/>
    <x v="10"/>
    <n v="1.5599999999999999E-2"/>
    <n v="0"/>
  </r>
  <r>
    <x v="0"/>
    <x v="4"/>
    <x v="6"/>
    <n v="1.54E-2"/>
    <s v="Ojek; Pegawai Swasta"/>
  </r>
  <r>
    <x v="0"/>
    <x v="5"/>
    <x v="0"/>
    <n v="0.1472"/>
    <s v="Petani;Petani/Nelayan;Pegawai Swasta-Pertanian;Wiraswasta-Pertanian;Nelayan"/>
  </r>
  <r>
    <x v="0"/>
    <x v="5"/>
    <x v="1"/>
    <n v="0.11119999999999999"/>
    <s v="Petani;Petani/Nelayan;Pegawai Swasta-Pertanian;Wiraswasta-Pertanian"/>
  </r>
  <r>
    <x v="0"/>
    <x v="5"/>
    <x v="2"/>
    <n v="9.1999999999999998E-2"/>
    <s v="Pegawai Swasta-Perdagangan;Wiraswasta/Pedagang;Wiraswasta-Perdagangan"/>
  </r>
  <r>
    <x v="0"/>
    <x v="5"/>
    <x v="7"/>
    <n v="2.3400000000000001E-2"/>
    <s v="Pegawai Swasta;Pegawai Swasta-Industri;Wiraswasta-Industri"/>
  </r>
  <r>
    <x v="0"/>
    <x v="5"/>
    <x v="12"/>
    <n v="1.9E-2"/>
    <s v="Pegawai Swasta-Konstruksi;Wiraswasta-Konstruksi"/>
  </r>
  <r>
    <x v="0"/>
    <x v="5"/>
    <x v="14"/>
    <n v="1.84E-2"/>
    <s v="Pegawai Swasta;Pegawai Swasta-Industri;Wiraswasta-Industri"/>
  </r>
  <r>
    <x v="0"/>
    <x v="5"/>
    <x v="4"/>
    <n v="1.8200000000000001E-2"/>
    <s v="Ojek; Pegawai Swasta"/>
  </r>
  <r>
    <x v="0"/>
    <x v="5"/>
    <x v="5"/>
    <n v="1.6400000000000001E-2"/>
    <s v="Petani;Petani/Nelayan;Pegawai Swasta-Pertanian;Wiraswasta-Pertanian"/>
  </r>
  <r>
    <x v="0"/>
    <x v="5"/>
    <x v="10"/>
    <n v="1.5599999999999999E-2"/>
    <n v="0"/>
  </r>
  <r>
    <x v="0"/>
    <x v="5"/>
    <x v="6"/>
    <n v="1.54E-2"/>
    <s v="Ojek; Pegawai Swasta"/>
  </r>
  <r>
    <x v="0"/>
    <x v="6"/>
    <x v="1"/>
    <n v="5.33E-2"/>
    <s v="Petani;Petani/Nelayan;Pegawai Swasta-Pertanian;Wiraswasta-Pertanian"/>
  </r>
  <r>
    <x v="0"/>
    <x v="6"/>
    <x v="2"/>
    <n v="4.99E-2"/>
    <s v="Pegawai Swasta-Perdagangan;Wiraswasta/Pedagang;Wiraswasta-Perdagangan"/>
  </r>
  <r>
    <x v="0"/>
    <x v="6"/>
    <x v="0"/>
    <n v="4.48E-2"/>
    <s v="Petani;Petani/Nelayan;Pegawai Swasta-Pertanian;Wiraswasta-Pertanian;Nelayan"/>
  </r>
  <r>
    <x v="0"/>
    <x v="6"/>
    <x v="9"/>
    <n v="4.3499999999999997E-2"/>
    <s v="Pegawai Swasta-Konstruksi;Wiraswasta-Konstruksi"/>
  </r>
  <r>
    <x v="0"/>
    <x v="6"/>
    <x v="3"/>
    <n v="2.6499999999999999E-2"/>
    <s v="Petani;Petani/Nelayan;Pegawai Swasta-Pertanian;Wiraswasta-Pertanian"/>
  </r>
  <r>
    <x v="0"/>
    <x v="6"/>
    <x v="5"/>
    <n v="2.4199999999999999E-2"/>
    <s v="Petani;Petani/Nelayan;Pegawai Swasta-Pertanian;Wiraswasta-Pertanian"/>
  </r>
  <r>
    <x v="0"/>
    <x v="6"/>
    <x v="10"/>
    <n v="2.4199999999999999E-2"/>
    <n v="0"/>
  </r>
  <r>
    <x v="0"/>
    <x v="6"/>
    <x v="8"/>
    <n v="1.77E-2"/>
    <s v="Pegawai Swasta-Perdagangan;Wiraswasta/Pedagang;Wiraswasta-Perdagangan"/>
  </r>
  <r>
    <x v="0"/>
    <x v="6"/>
    <x v="4"/>
    <n v="1.55E-2"/>
    <s v="Ojek; Pegawai Swasta"/>
  </r>
  <r>
    <x v="0"/>
    <x v="6"/>
    <x v="13"/>
    <n v="1.4E-2"/>
    <s v="Pegawai Swasta-Perdagangan;Wiraswasta/Pedagang;Wiraswasta-Perdagangan"/>
  </r>
  <r>
    <x v="0"/>
    <x v="7"/>
    <x v="1"/>
    <n v="7.1900000000000006E-2"/>
    <s v="Petani;Petani/Nelayan;Pegawai Swasta-Pertanian;Wiraswasta-Pertanian"/>
  </r>
  <r>
    <x v="0"/>
    <x v="7"/>
    <x v="0"/>
    <n v="4.41E-2"/>
    <s v="Petani;Petani/Nelayan;Pegawai Swasta-Pertanian;Wiraswasta-Pertanian;Nelayan"/>
  </r>
  <r>
    <x v="0"/>
    <x v="7"/>
    <x v="2"/>
    <n v="4.2900000000000001E-2"/>
    <s v="Pegawai Swasta-Perdagangan;Wiraswasta/Pedagang;Wiraswasta-Perdagangan"/>
  </r>
  <r>
    <x v="0"/>
    <x v="7"/>
    <x v="15"/>
    <n v="3.0800000000000001E-2"/>
    <e v="#N/A"/>
  </r>
  <r>
    <x v="0"/>
    <x v="7"/>
    <x v="10"/>
    <n v="3.04E-2"/>
    <n v="0"/>
  </r>
  <r>
    <x v="0"/>
    <x v="7"/>
    <x v="9"/>
    <n v="3.0200000000000001E-2"/>
    <s v="Pegawai Swasta-Konstruksi;Wiraswasta-Konstruksi"/>
  </r>
  <r>
    <x v="0"/>
    <x v="7"/>
    <x v="8"/>
    <n v="2.2100000000000002E-2"/>
    <s v="Pegawai Swasta-Perdagangan;Wiraswasta/Pedagang;Wiraswasta-Perdagangan"/>
  </r>
  <r>
    <x v="0"/>
    <x v="7"/>
    <x v="3"/>
    <n v="2.1499999999999998E-2"/>
    <s v="Petani;Petani/Nelayan;Pegawai Swasta-Pertanian;Wiraswasta-Pertanian"/>
  </r>
  <r>
    <x v="0"/>
    <x v="7"/>
    <x v="4"/>
    <n v="2.1100000000000001E-2"/>
    <s v="Ojek; Pegawai Swasta"/>
  </r>
  <r>
    <x v="0"/>
    <x v="7"/>
    <x v="5"/>
    <n v="1.55E-2"/>
    <s v="Petani;Petani/Nelayan;Pegawai Swasta-Pertanian;Wiraswasta-Pertanian"/>
  </r>
  <r>
    <x v="0"/>
    <x v="8"/>
    <x v="2"/>
    <n v="9.2100000000000001E-2"/>
    <s v="Pegawai Swasta-Perdagangan;Wiraswasta/Pedagang;Wiraswasta-Perdagangan"/>
  </r>
  <r>
    <x v="0"/>
    <x v="8"/>
    <x v="0"/>
    <n v="0.08"/>
    <s v="Petani;Petani/Nelayan;Pegawai Swasta-Pertanian;Wiraswasta-Pertanian;Nelayan"/>
  </r>
  <r>
    <x v="0"/>
    <x v="8"/>
    <x v="1"/>
    <n v="6.9099999999999995E-2"/>
    <s v="Petani;Petani/Nelayan;Pegawai Swasta-Pertanian;Wiraswasta-Pertanian"/>
  </r>
  <r>
    <x v="0"/>
    <x v="8"/>
    <x v="9"/>
    <n v="2.7099999999999999E-2"/>
    <s v="Pegawai Swasta-Konstruksi;Wiraswasta-Konstruksi"/>
  </r>
  <r>
    <x v="0"/>
    <x v="8"/>
    <x v="8"/>
    <n v="2.2700000000000001E-2"/>
    <s v="Pegawai Swasta-Perdagangan;Wiraswasta/Pedagang;Wiraswasta-Perdagangan"/>
  </r>
  <r>
    <x v="0"/>
    <x v="8"/>
    <x v="13"/>
    <n v="1.3100000000000001E-2"/>
    <s v="Pegawai Swasta-Perdagangan;Wiraswasta/Pedagang;Wiraswasta-Perdagangan"/>
  </r>
  <r>
    <x v="0"/>
    <x v="8"/>
    <x v="4"/>
    <n v="1.18E-2"/>
    <s v="Ojek; Pegawai Swasta"/>
  </r>
  <r>
    <x v="0"/>
    <x v="8"/>
    <x v="7"/>
    <n v="1.09E-2"/>
    <s v="Pegawai Swasta;Pegawai Swasta-Industri;Wiraswasta-Industri"/>
  </r>
  <r>
    <x v="0"/>
    <x v="8"/>
    <x v="6"/>
    <n v="1.0800000000000001E-2"/>
    <s v="Ojek; Pegawai Swasta"/>
  </r>
  <r>
    <x v="0"/>
    <x v="8"/>
    <x v="10"/>
    <n v="9.1000000000000004E-3"/>
    <n v="0"/>
  </r>
  <r>
    <x v="0"/>
    <x v="9"/>
    <x v="0"/>
    <n v="0.1019"/>
    <s v="Petani;Petani/Nelayan;Pegawai Swasta-Pertanian;Wiraswasta-Pertanian;Nelayan"/>
  </r>
  <r>
    <x v="0"/>
    <x v="9"/>
    <x v="1"/>
    <n v="8.09E-2"/>
    <s v="Petani;Petani/Nelayan;Pegawai Swasta-Pertanian;Wiraswasta-Pertanian"/>
  </r>
  <r>
    <x v="0"/>
    <x v="9"/>
    <x v="2"/>
    <n v="6.5199999999999994E-2"/>
    <s v="Pegawai Swasta-Perdagangan;Wiraswasta/Pedagang;Wiraswasta-Perdagangan"/>
  </r>
  <r>
    <x v="0"/>
    <x v="9"/>
    <x v="5"/>
    <n v="5.3699999999999998E-2"/>
    <s v="Petani;Petani/Nelayan;Pegawai Swasta-Pertanian;Wiraswasta-Pertanian"/>
  </r>
  <r>
    <x v="0"/>
    <x v="9"/>
    <x v="3"/>
    <n v="4.5600000000000002E-2"/>
    <s v="Petani;Petani/Nelayan;Pegawai Swasta-Pertanian;Wiraswasta-Pertanian"/>
  </r>
  <r>
    <x v="0"/>
    <x v="9"/>
    <x v="4"/>
    <n v="1.89E-2"/>
    <s v="Ojek; Pegawai Swasta"/>
  </r>
  <r>
    <x v="0"/>
    <x v="9"/>
    <x v="7"/>
    <n v="1.6500000000000001E-2"/>
    <s v="Pegawai Swasta;Pegawai Swasta-Industri;Wiraswasta-Industri"/>
  </r>
  <r>
    <x v="0"/>
    <x v="9"/>
    <x v="10"/>
    <n v="1.29E-2"/>
    <n v="0"/>
  </r>
  <r>
    <x v="0"/>
    <x v="9"/>
    <x v="14"/>
    <n v="1.2E-2"/>
    <s v="Pegawai Swasta;Pegawai Swasta-Industri;Wiraswasta-Industri"/>
  </r>
  <r>
    <x v="0"/>
    <x v="9"/>
    <x v="12"/>
    <n v="1.0500000000000001E-2"/>
    <s v="Pegawai Swasta-Konstruksi;Wiraswasta-Konstruksi"/>
  </r>
  <r>
    <x v="0"/>
    <x v="10"/>
    <x v="0"/>
    <n v="0.1019"/>
    <s v="Petani;Petani/Nelayan;Pegawai Swasta-Pertanian;Wiraswasta-Pertanian;Nelayan"/>
  </r>
  <r>
    <x v="0"/>
    <x v="10"/>
    <x v="1"/>
    <n v="8.09E-2"/>
    <s v="Petani;Petani/Nelayan;Pegawai Swasta-Pertanian;Wiraswasta-Pertanian"/>
  </r>
  <r>
    <x v="0"/>
    <x v="10"/>
    <x v="2"/>
    <n v="6.5199999999999994E-2"/>
    <s v="Pegawai Swasta-Perdagangan;Wiraswasta/Pedagang;Wiraswasta-Perdagangan"/>
  </r>
  <r>
    <x v="0"/>
    <x v="10"/>
    <x v="5"/>
    <n v="5.3699999999999998E-2"/>
    <s v="Petani;Petani/Nelayan;Pegawai Swasta-Pertanian;Wiraswasta-Pertanian"/>
  </r>
  <r>
    <x v="0"/>
    <x v="10"/>
    <x v="3"/>
    <n v="4.5600000000000002E-2"/>
    <s v="Petani;Petani/Nelayan;Pegawai Swasta-Pertanian;Wiraswasta-Pertanian"/>
  </r>
  <r>
    <x v="0"/>
    <x v="10"/>
    <x v="4"/>
    <n v="1.89E-2"/>
    <s v="Ojek; Pegawai Swasta"/>
  </r>
  <r>
    <x v="0"/>
    <x v="10"/>
    <x v="7"/>
    <n v="1.6500000000000001E-2"/>
    <s v="Pegawai Swasta;Pegawai Swasta-Industri;Wiraswasta-Industri"/>
  </r>
  <r>
    <x v="0"/>
    <x v="10"/>
    <x v="10"/>
    <n v="1.29E-2"/>
    <n v="0"/>
  </r>
  <r>
    <x v="0"/>
    <x v="10"/>
    <x v="14"/>
    <n v="1.2E-2"/>
    <s v="Pegawai Swasta;Pegawai Swasta-Industri;Wiraswasta-Industri"/>
  </r>
  <r>
    <x v="0"/>
    <x v="10"/>
    <x v="12"/>
    <n v="1.0500000000000001E-2"/>
    <s v="Pegawai Swasta-Konstruksi;Wiraswasta-Konstruksi"/>
  </r>
  <r>
    <x v="0"/>
    <x v="11"/>
    <x v="1"/>
    <n v="0.15909999999999999"/>
    <s v="Petani;Petani/Nelayan;Pegawai Swasta-Pertanian;Wiraswasta-Pertanian"/>
  </r>
  <r>
    <x v="0"/>
    <x v="11"/>
    <x v="0"/>
    <n v="0.1191"/>
    <s v="Petani;Petani/Nelayan;Pegawai Swasta-Pertanian;Wiraswasta-Pertanian;Nelayan"/>
  </r>
  <r>
    <x v="0"/>
    <x v="11"/>
    <x v="2"/>
    <n v="0.1191"/>
    <s v="Pegawai Swasta-Perdagangan;Wiraswasta/Pedagang;Wiraswasta-Perdagangan"/>
  </r>
  <r>
    <x v="0"/>
    <x v="11"/>
    <x v="4"/>
    <n v="5.3400000000000003E-2"/>
    <s v="Ojek; Pegawai Swasta"/>
  </r>
  <r>
    <x v="0"/>
    <x v="11"/>
    <x v="6"/>
    <n v="3.9E-2"/>
    <s v="Ojek; Pegawai Swasta"/>
  </r>
  <r>
    <x v="0"/>
    <x v="11"/>
    <x v="7"/>
    <n v="3.39E-2"/>
    <s v="Pegawai Swasta;Pegawai Swasta-Industri;Wiraswasta-Industri"/>
  </r>
  <r>
    <x v="0"/>
    <x v="11"/>
    <x v="13"/>
    <n v="2.98E-2"/>
    <s v="Pegawai Swasta-Perdagangan;Wiraswasta/Pedagang;Wiraswasta-Perdagangan"/>
  </r>
  <r>
    <x v="0"/>
    <x v="11"/>
    <x v="8"/>
    <n v="2.7699999999999999E-2"/>
    <s v="Pegawai Swasta-Perdagangan;Wiraswasta/Pedagang;Wiraswasta-Perdagangan"/>
  </r>
  <r>
    <x v="0"/>
    <x v="11"/>
    <x v="14"/>
    <n v="2.7699999999999999E-2"/>
    <s v="Pegawai Swasta;Pegawai Swasta-Industri;Wiraswasta-Industri"/>
  </r>
  <r>
    <x v="0"/>
    <x v="11"/>
    <x v="5"/>
    <n v="2.5700000000000001E-2"/>
    <s v="Petani;Petani/Nelayan;Pegawai Swasta-Pertanian;Wiraswasta-Pertanian"/>
  </r>
  <r>
    <x v="0"/>
    <x v="12"/>
    <x v="0"/>
    <n v="0.1019"/>
    <s v="Petani;Petani/Nelayan;Pegawai Swasta-Pertanian;Wiraswasta-Pertanian;Nelayan"/>
  </r>
  <r>
    <x v="0"/>
    <x v="12"/>
    <x v="1"/>
    <n v="8.09E-2"/>
    <s v="Petani;Petani/Nelayan;Pegawai Swasta-Pertanian;Wiraswasta-Pertanian"/>
  </r>
  <r>
    <x v="0"/>
    <x v="12"/>
    <x v="2"/>
    <n v="6.5199999999999994E-2"/>
    <s v="Pegawai Swasta-Perdagangan;Wiraswasta/Pedagang;Wiraswasta-Perdagangan"/>
  </r>
  <r>
    <x v="0"/>
    <x v="12"/>
    <x v="5"/>
    <n v="5.3699999999999998E-2"/>
    <s v="Petani;Petani/Nelayan;Pegawai Swasta-Pertanian;Wiraswasta-Pertanian"/>
  </r>
  <r>
    <x v="0"/>
    <x v="12"/>
    <x v="3"/>
    <n v="4.5600000000000002E-2"/>
    <s v="Petani;Petani/Nelayan;Pegawai Swasta-Pertanian;Wiraswasta-Pertanian"/>
  </r>
  <r>
    <x v="0"/>
    <x v="12"/>
    <x v="4"/>
    <n v="1.89E-2"/>
    <s v="Ojek; Pegawai Swasta"/>
  </r>
  <r>
    <x v="0"/>
    <x v="12"/>
    <x v="7"/>
    <n v="1.6500000000000001E-2"/>
    <s v="Pegawai Swasta;Pegawai Swasta-Industri;Wiraswasta-Industri"/>
  </r>
  <r>
    <x v="0"/>
    <x v="12"/>
    <x v="10"/>
    <n v="1.29E-2"/>
    <n v="0"/>
  </r>
  <r>
    <x v="0"/>
    <x v="12"/>
    <x v="14"/>
    <n v="1.2E-2"/>
    <s v="Pegawai Swasta;Pegawai Swasta-Industri;Wiraswasta-Industri"/>
  </r>
  <r>
    <x v="0"/>
    <x v="12"/>
    <x v="12"/>
    <n v="1.0500000000000001E-2"/>
    <s v="Pegawai Swasta-Konstruksi;Wiraswasta-Konstruksi"/>
  </r>
  <r>
    <x v="0"/>
    <x v="13"/>
    <x v="3"/>
    <n v="0.15179999999999999"/>
    <s v="Petani;Petani/Nelayan;Pegawai Swasta-Pertanian;Wiraswasta-Pertanian"/>
  </r>
  <r>
    <x v="0"/>
    <x v="13"/>
    <x v="0"/>
    <n v="7.9899999999999999E-2"/>
    <s v="Petani;Petani/Nelayan;Pegawai Swasta-Pertanian;Wiraswasta-Pertanian;Nelayan"/>
  </r>
  <r>
    <x v="0"/>
    <x v="13"/>
    <x v="1"/>
    <n v="6.83E-2"/>
    <s v="Petani;Petani/Nelayan;Pegawai Swasta-Pertanian;Wiraswasta-Pertanian"/>
  </r>
  <r>
    <x v="0"/>
    <x v="13"/>
    <x v="2"/>
    <n v="6.6100000000000006E-2"/>
    <s v="Pegawai Swasta-Perdagangan;Wiraswasta/Pedagang;Wiraswasta-Perdagangan"/>
  </r>
  <r>
    <x v="0"/>
    <x v="13"/>
    <x v="5"/>
    <n v="3.9E-2"/>
    <s v="Petani;Petani/Nelayan;Pegawai Swasta-Pertanian;Wiraswasta-Pertanian"/>
  </r>
  <r>
    <x v="0"/>
    <x v="13"/>
    <x v="4"/>
    <n v="1.66E-2"/>
    <s v="Ojek; Pegawai Swasta"/>
  </r>
  <r>
    <x v="0"/>
    <x v="13"/>
    <x v="10"/>
    <n v="1.52E-2"/>
    <n v="0"/>
  </r>
  <r>
    <x v="0"/>
    <x v="13"/>
    <x v="7"/>
    <n v="1.52E-2"/>
    <s v="Pegawai Swasta;Pegawai Swasta-Industri;Wiraswasta-Industri"/>
  </r>
  <r>
    <x v="0"/>
    <x v="13"/>
    <x v="6"/>
    <n v="1.2200000000000001E-2"/>
    <s v="Ojek; Pegawai Swasta"/>
  </r>
  <r>
    <x v="0"/>
    <x v="13"/>
    <x v="13"/>
    <n v="1.1299999999999999E-2"/>
    <s v="Pegawai Swasta-Perdagangan;Wiraswasta/Pedagang;Wiraswasta-Perdagangan"/>
  </r>
  <r>
    <x v="0"/>
    <x v="14"/>
    <x v="2"/>
    <n v="0.1177"/>
    <s v="Pegawai Swasta-Perdagangan;Wiraswasta/Pedagang;Wiraswasta-Perdagangan"/>
  </r>
  <r>
    <x v="0"/>
    <x v="14"/>
    <x v="1"/>
    <n v="9.8299999999999998E-2"/>
    <s v="Petani;Petani/Nelayan;Pegawai Swasta-Pertanian;Wiraswasta-Pertanian"/>
  </r>
  <r>
    <x v="0"/>
    <x v="14"/>
    <x v="0"/>
    <n v="9.6299999999999997E-2"/>
    <s v="Petani;Petani/Nelayan;Pegawai Swasta-Pertanian;Wiraswasta-Pertanian;Nelayan"/>
  </r>
  <r>
    <x v="0"/>
    <x v="14"/>
    <x v="4"/>
    <n v="6.0299999999999999E-2"/>
    <s v="Ojek; Pegawai Swasta"/>
  </r>
  <r>
    <x v="0"/>
    <x v="14"/>
    <x v="7"/>
    <n v="5.8299999999999998E-2"/>
    <s v="Pegawai Swasta;Pegawai Swasta-Industri;Wiraswasta-Industri"/>
  </r>
  <r>
    <x v="0"/>
    <x v="14"/>
    <x v="6"/>
    <n v="4.6300000000000001E-2"/>
    <s v="Ojek; Pegawai Swasta"/>
  </r>
  <r>
    <x v="0"/>
    <x v="14"/>
    <x v="10"/>
    <n v="4.1700000000000001E-2"/>
    <n v="0"/>
  </r>
  <r>
    <x v="0"/>
    <x v="14"/>
    <x v="12"/>
    <n v="4.0300000000000002E-2"/>
    <s v="Pegawai Swasta-Konstruksi;Wiraswasta-Konstruksi"/>
  </r>
  <r>
    <x v="0"/>
    <x v="14"/>
    <x v="14"/>
    <n v="3.9300000000000002E-2"/>
    <s v="Pegawai Swasta;Pegawai Swasta-Industri;Wiraswasta-Industri"/>
  </r>
  <r>
    <x v="0"/>
    <x v="14"/>
    <x v="8"/>
    <n v="3.73E-2"/>
    <s v="Pegawai Swasta-Perdagangan;Wiraswasta/Pedagang;Wiraswasta-Perdagangan"/>
  </r>
  <r>
    <x v="0"/>
    <x v="15"/>
    <x v="6"/>
    <n v="0.1075"/>
    <s v="Ojek; Pegawai Swasta"/>
  </r>
  <r>
    <x v="0"/>
    <x v="15"/>
    <x v="5"/>
    <n v="9.35E-2"/>
    <s v="Petani;Petani/Nelayan;Pegawai Swasta-Pertanian;Wiraswasta-Pertanian"/>
  </r>
  <r>
    <x v="0"/>
    <x v="15"/>
    <x v="2"/>
    <n v="7.0099999999999996E-2"/>
    <s v="Pegawai Swasta-Perdagangan;Wiraswasta/Pedagang;Wiraswasta-Perdagangan"/>
  </r>
  <r>
    <x v="0"/>
    <x v="15"/>
    <x v="0"/>
    <n v="6.0699999999999997E-2"/>
    <s v="Petani;Petani/Nelayan;Pegawai Swasta-Pertanian;Wiraswasta-Pertanian;Nelayan"/>
  </r>
  <r>
    <x v="0"/>
    <x v="15"/>
    <x v="8"/>
    <n v="6.0699999999999997E-2"/>
    <s v="Pegawai Swasta-Perdagangan;Wiraswasta/Pedagang;Wiraswasta-Perdagangan"/>
  </r>
  <r>
    <x v="0"/>
    <x v="15"/>
    <x v="16"/>
    <n v="4.6699999999999998E-2"/>
    <s v="Pegawai Negeri;TNI/Polri"/>
  </r>
  <r>
    <x v="0"/>
    <x v="15"/>
    <x v="17"/>
    <n v="4.6699999999999998E-2"/>
    <s v="Pegawai Negeri;TNI/Polri"/>
  </r>
  <r>
    <x v="0"/>
    <x v="15"/>
    <x v="18"/>
    <n v="4.2099999999999999E-2"/>
    <s v="Pegawai Swasta"/>
  </r>
  <r>
    <x v="0"/>
    <x v="15"/>
    <x v="10"/>
    <n v="3.27E-2"/>
    <n v="0"/>
  </r>
  <r>
    <x v="0"/>
    <x v="15"/>
    <x v="1"/>
    <n v="1.4E-2"/>
    <s v="Petani;Petani/Nelayan;Pegawai Swasta-Pertanian;Wiraswasta-Pertanian"/>
  </r>
  <r>
    <x v="0"/>
    <x v="16"/>
    <x v="3"/>
    <n v="0.15179999999999999"/>
    <s v="Petani;Petani/Nelayan;Pegawai Swasta-Pertanian;Wiraswasta-Pertanian"/>
  </r>
  <r>
    <x v="0"/>
    <x v="16"/>
    <x v="0"/>
    <n v="7.9899999999999999E-2"/>
    <s v="Petani;Petani/Nelayan;Pegawai Swasta-Pertanian;Wiraswasta-Pertanian;Nelayan"/>
  </r>
  <r>
    <x v="0"/>
    <x v="16"/>
    <x v="1"/>
    <n v="6.83E-2"/>
    <s v="Petani;Petani/Nelayan;Pegawai Swasta-Pertanian;Wiraswasta-Pertanian"/>
  </r>
  <r>
    <x v="0"/>
    <x v="16"/>
    <x v="2"/>
    <n v="6.6100000000000006E-2"/>
    <s v="Pegawai Swasta-Perdagangan;Wiraswasta/Pedagang;Wiraswasta-Perdagangan"/>
  </r>
  <r>
    <x v="0"/>
    <x v="16"/>
    <x v="5"/>
    <n v="3.9E-2"/>
    <s v="Petani;Petani/Nelayan;Pegawai Swasta-Pertanian;Wiraswasta-Pertanian"/>
  </r>
  <r>
    <x v="0"/>
    <x v="16"/>
    <x v="4"/>
    <n v="1.66E-2"/>
    <s v="Ojek; Pegawai Swasta"/>
  </r>
  <r>
    <x v="0"/>
    <x v="16"/>
    <x v="10"/>
    <n v="1.52E-2"/>
    <n v="0"/>
  </r>
  <r>
    <x v="0"/>
    <x v="16"/>
    <x v="7"/>
    <n v="1.52E-2"/>
    <s v="Pegawai Swasta;Pegawai Swasta-Industri;Wiraswasta-Industri"/>
  </r>
  <r>
    <x v="0"/>
    <x v="16"/>
    <x v="6"/>
    <n v="1.2200000000000001E-2"/>
    <s v="Ojek; Pegawai Swasta"/>
  </r>
  <r>
    <x v="0"/>
    <x v="16"/>
    <x v="13"/>
    <n v="1.1299999999999999E-2"/>
    <s v="Pegawai Swasta-Perdagangan;Wiraswasta/Pedagang;Wiraswasta-Perdagangan"/>
  </r>
  <r>
    <x v="0"/>
    <x v="17"/>
    <x v="0"/>
    <n v="0.1019"/>
    <s v="Petani;Petani/Nelayan;Pegawai Swasta-Pertanian;Wiraswasta-Pertanian;Nelayan"/>
  </r>
  <r>
    <x v="0"/>
    <x v="17"/>
    <x v="1"/>
    <n v="8.09E-2"/>
    <s v="Petani;Petani/Nelayan;Pegawai Swasta-Pertanian;Wiraswasta-Pertanian"/>
  </r>
  <r>
    <x v="0"/>
    <x v="17"/>
    <x v="2"/>
    <n v="6.5199999999999994E-2"/>
    <s v="Pegawai Swasta-Perdagangan;Wiraswasta/Pedagang;Wiraswasta-Perdagangan"/>
  </r>
  <r>
    <x v="0"/>
    <x v="17"/>
    <x v="5"/>
    <n v="5.3699999999999998E-2"/>
    <s v="Petani;Petani/Nelayan;Pegawai Swasta-Pertanian;Wiraswasta-Pertanian"/>
  </r>
  <r>
    <x v="0"/>
    <x v="17"/>
    <x v="3"/>
    <n v="4.5600000000000002E-2"/>
    <s v="Petani;Petani/Nelayan;Pegawai Swasta-Pertanian;Wiraswasta-Pertanian"/>
  </r>
  <r>
    <x v="0"/>
    <x v="17"/>
    <x v="4"/>
    <n v="1.89E-2"/>
    <s v="Ojek; Pegawai Swasta"/>
  </r>
  <r>
    <x v="0"/>
    <x v="17"/>
    <x v="7"/>
    <n v="1.6500000000000001E-2"/>
    <s v="Pegawai Swasta;Pegawai Swasta-Industri;Wiraswasta-Industri"/>
  </r>
  <r>
    <x v="0"/>
    <x v="17"/>
    <x v="10"/>
    <n v="1.29E-2"/>
    <n v="0"/>
  </r>
  <r>
    <x v="0"/>
    <x v="17"/>
    <x v="14"/>
    <n v="1.2E-2"/>
    <s v="Pegawai Swasta;Pegawai Swasta-Industri;Wiraswasta-Industri"/>
  </r>
  <r>
    <x v="0"/>
    <x v="17"/>
    <x v="12"/>
    <n v="1.0500000000000001E-2"/>
    <s v="Pegawai Swasta-Konstruksi;Wiraswasta-Konstruksi"/>
  </r>
  <r>
    <x v="0"/>
    <x v="18"/>
    <x v="1"/>
    <n v="7.1900000000000006E-2"/>
    <s v="Petani;Petani/Nelayan;Pegawai Swasta-Pertanian;Wiraswasta-Pertanian"/>
  </r>
  <r>
    <x v="0"/>
    <x v="18"/>
    <x v="0"/>
    <n v="4.41E-2"/>
    <s v="Petani;Petani/Nelayan;Pegawai Swasta-Pertanian;Wiraswasta-Pertanian;Nelayan"/>
  </r>
  <r>
    <x v="0"/>
    <x v="18"/>
    <x v="2"/>
    <n v="4.2900000000000001E-2"/>
    <s v="Pegawai Swasta-Perdagangan;Wiraswasta/Pedagang;Wiraswasta-Perdagangan"/>
  </r>
  <r>
    <x v="0"/>
    <x v="18"/>
    <x v="15"/>
    <n v="3.0800000000000001E-2"/>
    <e v="#N/A"/>
  </r>
  <r>
    <x v="0"/>
    <x v="18"/>
    <x v="10"/>
    <n v="3.04E-2"/>
    <n v="0"/>
  </r>
  <r>
    <x v="0"/>
    <x v="18"/>
    <x v="9"/>
    <n v="3.0200000000000001E-2"/>
    <s v="Pegawai Swasta-Konstruksi;Wiraswasta-Konstruksi"/>
  </r>
  <r>
    <x v="0"/>
    <x v="18"/>
    <x v="8"/>
    <n v="2.2100000000000002E-2"/>
    <s v="Pegawai Swasta-Perdagangan;Wiraswasta/Pedagang;Wiraswasta-Perdagangan"/>
  </r>
  <r>
    <x v="0"/>
    <x v="18"/>
    <x v="3"/>
    <n v="2.1499999999999998E-2"/>
    <s v="Petani;Petani/Nelayan;Pegawai Swasta-Pertanian;Wiraswasta-Pertanian"/>
  </r>
  <r>
    <x v="0"/>
    <x v="18"/>
    <x v="4"/>
    <n v="2.1100000000000001E-2"/>
    <s v="Ojek; Pegawai Swasta"/>
  </r>
  <r>
    <x v="0"/>
    <x v="18"/>
    <x v="5"/>
    <n v="1.55E-2"/>
    <s v="Petani;Petani/Nelayan;Pegawai Swasta-Pertanian;Wiraswasta-Pertanian"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  <r>
    <x v="1"/>
    <x v="19"/>
    <x v="1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0D7F6-E623-4EDE-BCC0-F394F0A0B93D}" name="PivotTable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ternal Variables">
  <location ref="A3:B213" firstHeaderRow="1" firstDataRow="1" firstDataCol="1" rowPageCount="1" colPageCount="1"/>
  <pivotFields count="5">
    <pivotField axis="axisPage" numFmtId="17" multipleItemSelectionAllowed="1" showAll="0">
      <items count="3">
        <item x="0"/>
        <item h="1" x="1"/>
        <item t="default"/>
      </items>
    </pivotField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 sortType="descending">
      <items count="21">
        <item x="0"/>
        <item x="8"/>
        <item x="18"/>
        <item x="16"/>
        <item x="1"/>
        <item x="17"/>
        <item x="13"/>
        <item x="2"/>
        <item x="3"/>
        <item x="5"/>
        <item x="6"/>
        <item x="7"/>
        <item x="10"/>
        <item x="4"/>
        <item x="12"/>
        <item x="11"/>
        <item x="14"/>
        <item x="9"/>
        <item x="15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"/>
    <field x="2"/>
  </rowFields>
  <rowItems count="210">
    <i>
      <x/>
    </i>
    <i r="1">
      <x/>
    </i>
    <i r="1">
      <x v="4"/>
    </i>
    <i r="1">
      <x v="7"/>
    </i>
    <i r="1">
      <x v="8"/>
    </i>
    <i r="1">
      <x v="13"/>
    </i>
    <i r="1">
      <x v="9"/>
    </i>
    <i r="1">
      <x v="10"/>
    </i>
    <i r="1">
      <x v="11"/>
    </i>
    <i r="1">
      <x v="1"/>
    </i>
    <i r="1">
      <x v="17"/>
    </i>
    <i>
      <x v="1"/>
    </i>
    <i r="1">
      <x v="13"/>
    </i>
    <i r="1">
      <x v="1"/>
    </i>
    <i r="1">
      <x v="11"/>
    </i>
    <i r="1">
      <x v="12"/>
    </i>
    <i r="1">
      <x/>
    </i>
    <i r="1">
      <x v="15"/>
    </i>
    <i r="1">
      <x v="14"/>
    </i>
    <i r="1">
      <x v="4"/>
    </i>
    <i r="1">
      <x v="7"/>
    </i>
    <i r="1">
      <x v="17"/>
    </i>
    <i>
      <x v="2"/>
    </i>
    <i r="1">
      <x v="8"/>
    </i>
    <i r="1">
      <x/>
    </i>
    <i r="1">
      <x v="4"/>
    </i>
    <i r="1">
      <x v="7"/>
    </i>
    <i r="1">
      <x v="9"/>
    </i>
    <i r="1">
      <x v="13"/>
    </i>
    <i r="1">
      <x v="12"/>
    </i>
    <i r="1">
      <x v="11"/>
    </i>
    <i r="1">
      <x v="10"/>
    </i>
    <i r="1">
      <x v="6"/>
    </i>
    <i>
      <x v="3"/>
    </i>
    <i r="1">
      <x/>
    </i>
    <i r="1">
      <x v="4"/>
    </i>
    <i r="1">
      <x v="7"/>
    </i>
    <i r="1">
      <x v="11"/>
    </i>
    <i r="1">
      <x v="14"/>
    </i>
    <i r="1">
      <x v="16"/>
    </i>
    <i r="1">
      <x v="13"/>
    </i>
    <i r="1">
      <x v="9"/>
    </i>
    <i r="1">
      <x v="12"/>
    </i>
    <i r="1">
      <x v="10"/>
    </i>
    <i>
      <x v="4"/>
    </i>
    <i r="1">
      <x/>
    </i>
    <i r="1">
      <x v="4"/>
    </i>
    <i r="1">
      <x v="7"/>
    </i>
    <i r="1">
      <x v="11"/>
    </i>
    <i r="1">
      <x v="14"/>
    </i>
    <i r="1">
      <x v="16"/>
    </i>
    <i r="1">
      <x v="13"/>
    </i>
    <i r="1">
      <x v="9"/>
    </i>
    <i r="1">
      <x v="12"/>
    </i>
    <i r="1">
      <x v="10"/>
    </i>
    <i>
      <x v="5"/>
    </i>
    <i r="1">
      <x/>
    </i>
    <i r="1">
      <x v="4"/>
    </i>
    <i r="1">
      <x v="7"/>
    </i>
    <i r="1">
      <x v="11"/>
    </i>
    <i r="1">
      <x v="14"/>
    </i>
    <i r="1">
      <x v="16"/>
    </i>
    <i r="1">
      <x v="13"/>
    </i>
    <i r="1">
      <x v="9"/>
    </i>
    <i r="1">
      <x v="12"/>
    </i>
    <i r="1">
      <x v="10"/>
    </i>
    <i>
      <x v="6"/>
    </i>
    <i r="1">
      <x v="4"/>
    </i>
    <i r="1">
      <x v="7"/>
    </i>
    <i r="1">
      <x/>
    </i>
    <i r="1">
      <x v="17"/>
    </i>
    <i r="1">
      <x v="8"/>
    </i>
    <i r="1">
      <x v="9"/>
    </i>
    <i r="1">
      <x v="12"/>
    </i>
    <i r="1">
      <x v="1"/>
    </i>
    <i r="1">
      <x v="13"/>
    </i>
    <i r="1">
      <x v="6"/>
    </i>
    <i>
      <x v="7"/>
    </i>
    <i r="1">
      <x v="4"/>
    </i>
    <i r="1">
      <x/>
    </i>
    <i r="1">
      <x v="7"/>
    </i>
    <i r="1">
      <x v="18"/>
    </i>
    <i r="1">
      <x v="12"/>
    </i>
    <i r="1">
      <x v="17"/>
    </i>
    <i r="1">
      <x v="1"/>
    </i>
    <i r="1">
      <x v="8"/>
    </i>
    <i r="1">
      <x v="13"/>
    </i>
    <i r="1">
      <x v="9"/>
    </i>
    <i>
      <x v="8"/>
    </i>
    <i r="1">
      <x v="7"/>
    </i>
    <i r="1">
      <x/>
    </i>
    <i r="1">
      <x v="4"/>
    </i>
    <i r="1">
      <x v="17"/>
    </i>
    <i r="1">
      <x v="1"/>
    </i>
    <i r="1">
      <x v="6"/>
    </i>
    <i r="1">
      <x v="13"/>
    </i>
    <i r="1">
      <x v="11"/>
    </i>
    <i r="1">
      <x v="10"/>
    </i>
    <i r="1">
      <x v="12"/>
    </i>
    <i>
      <x v="9"/>
    </i>
    <i r="1">
      <x/>
    </i>
    <i r="1">
      <x v="4"/>
    </i>
    <i r="1">
      <x v="7"/>
    </i>
    <i r="1">
      <x v="9"/>
    </i>
    <i r="1">
      <x v="8"/>
    </i>
    <i r="1">
      <x v="13"/>
    </i>
    <i r="1">
      <x v="11"/>
    </i>
    <i r="1">
      <x v="12"/>
    </i>
    <i r="1">
      <x v="16"/>
    </i>
    <i r="1">
      <x v="14"/>
    </i>
    <i>
      <x v="10"/>
    </i>
    <i r="1">
      <x/>
    </i>
    <i r="1">
      <x v="4"/>
    </i>
    <i r="1">
      <x v="7"/>
    </i>
    <i r="1">
      <x v="9"/>
    </i>
    <i r="1">
      <x v="8"/>
    </i>
    <i r="1">
      <x v="13"/>
    </i>
    <i r="1">
      <x v="11"/>
    </i>
    <i r="1">
      <x v="12"/>
    </i>
    <i r="1">
      <x v="16"/>
    </i>
    <i r="1">
      <x v="14"/>
    </i>
    <i>
      <x v="11"/>
    </i>
    <i r="1">
      <x v="4"/>
    </i>
    <i r="1">
      <x/>
    </i>
    <i r="1">
      <x v="7"/>
    </i>
    <i r="1">
      <x v="13"/>
    </i>
    <i r="1">
      <x v="10"/>
    </i>
    <i r="1">
      <x v="11"/>
    </i>
    <i r="1">
      <x v="6"/>
    </i>
    <i r="1">
      <x v="1"/>
    </i>
    <i r="1">
      <x v="16"/>
    </i>
    <i r="1">
      <x v="9"/>
    </i>
    <i>
      <x v="12"/>
    </i>
    <i r="1">
      <x/>
    </i>
    <i r="1">
      <x v="4"/>
    </i>
    <i r="1">
      <x v="7"/>
    </i>
    <i r="1">
      <x v="9"/>
    </i>
    <i r="1">
      <x v="8"/>
    </i>
    <i r="1">
      <x v="13"/>
    </i>
    <i r="1">
      <x v="11"/>
    </i>
    <i r="1">
      <x v="12"/>
    </i>
    <i r="1">
      <x v="16"/>
    </i>
    <i r="1">
      <x v="14"/>
    </i>
    <i>
      <x v="13"/>
    </i>
    <i r="1">
      <x v="8"/>
    </i>
    <i r="1">
      <x/>
    </i>
    <i r="1">
      <x v="4"/>
    </i>
    <i r="1">
      <x v="7"/>
    </i>
    <i r="1">
      <x v="9"/>
    </i>
    <i r="1">
      <x v="13"/>
    </i>
    <i r="1">
      <x v="12"/>
    </i>
    <i r="1">
      <x v="11"/>
    </i>
    <i r="1">
      <x v="10"/>
    </i>
    <i r="1">
      <x v="6"/>
    </i>
    <i>
      <x v="14"/>
    </i>
    <i r="1">
      <x v="7"/>
    </i>
    <i r="1">
      <x v="4"/>
    </i>
    <i r="1">
      <x/>
    </i>
    <i r="1">
      <x v="13"/>
    </i>
    <i r="1">
      <x v="11"/>
    </i>
    <i r="1">
      <x v="10"/>
    </i>
    <i r="1">
      <x v="12"/>
    </i>
    <i r="1">
      <x v="14"/>
    </i>
    <i r="1">
      <x v="16"/>
    </i>
    <i r="1">
      <x v="1"/>
    </i>
    <i>
      <x v="15"/>
    </i>
    <i r="1">
      <x v="10"/>
    </i>
    <i r="1">
      <x v="9"/>
    </i>
    <i r="1">
      <x v="7"/>
    </i>
    <i r="1">
      <x v="1"/>
    </i>
    <i r="1">
      <x/>
    </i>
    <i r="1">
      <x v="5"/>
    </i>
    <i r="1">
      <x v="3"/>
    </i>
    <i r="1">
      <x v="2"/>
    </i>
    <i r="1">
      <x v="12"/>
    </i>
    <i r="1">
      <x v="4"/>
    </i>
    <i>
      <x v="16"/>
    </i>
    <i r="1">
      <x v="8"/>
    </i>
    <i r="1">
      <x/>
    </i>
    <i r="1">
      <x v="4"/>
    </i>
    <i r="1">
      <x v="7"/>
    </i>
    <i r="1">
      <x v="9"/>
    </i>
    <i r="1">
      <x v="13"/>
    </i>
    <i r="1">
      <x v="12"/>
    </i>
    <i r="1">
      <x v="11"/>
    </i>
    <i r="1">
      <x v="10"/>
    </i>
    <i r="1">
      <x v="6"/>
    </i>
    <i>
      <x v="17"/>
    </i>
    <i r="1">
      <x/>
    </i>
    <i r="1">
      <x v="4"/>
    </i>
    <i r="1">
      <x v="7"/>
    </i>
    <i r="1">
      <x v="9"/>
    </i>
    <i r="1">
      <x v="8"/>
    </i>
    <i r="1">
      <x v="13"/>
    </i>
    <i r="1">
      <x v="11"/>
    </i>
    <i r="1">
      <x v="12"/>
    </i>
    <i r="1">
      <x v="16"/>
    </i>
    <i r="1">
      <x v="14"/>
    </i>
    <i>
      <x v="18"/>
    </i>
    <i r="1">
      <x v="4"/>
    </i>
    <i r="1">
      <x/>
    </i>
    <i r="1">
      <x v="7"/>
    </i>
    <i r="1">
      <x v="18"/>
    </i>
    <i r="1">
      <x v="12"/>
    </i>
    <i r="1">
      <x v="17"/>
    </i>
    <i r="1">
      <x v="1"/>
    </i>
    <i r="1">
      <x v="8"/>
    </i>
    <i r="1">
      <x v="13"/>
    </i>
    <i r="1">
      <x v="9"/>
    </i>
    <i t="grand">
      <x/>
    </i>
  </rowItems>
  <colItems count="1">
    <i/>
  </colItems>
  <pageFields count="1">
    <pageField fld="0" hier="-1"/>
  </pageFields>
  <dataFields count="1">
    <dataField name="&amp;Influence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7D1B1-21FD-478B-B3D8-81FA960A06CD}" name="DatabaseKalbar" displayName="DatabaseKalbar" ref="A1:E191" totalsRowShown="0">
  <autoFilter ref="A1:E191" xr:uid="{E477D1B1-21FD-478B-B3D8-81FA960A06CD}"/>
  <tableColumns count="5">
    <tableColumn id="1" xr3:uid="{7C43D4BE-09E5-42EC-B239-61CD4541F42F}" name="Period" dataDxfId="3"/>
    <tableColumn id="2" xr3:uid="{D2B67084-13CE-4819-9240-8EC5D8AA5625}" name="Region/ Regency"/>
    <tableColumn id="3" xr3:uid="{F816FF96-57BF-4592-BC87-311D2F5A0102}" name="External Factor"/>
    <tableColumn id="4" xr3:uid="{448A5B8A-7CFD-4A3B-A358-EDB9E9EF780F}" name="%Influence" dataDxfId="2" dataCellStyle="Percent"/>
    <tableColumn id="5" xr3:uid="{F0B98505-8299-4258-A7BC-599716AF02B2}" name="Worker" dataDxfId="1">
      <calculatedColumnFormula>VLOOKUP(DatabaseKalbar[[#This Row],[External Factor]],'[1]Mapping Ex Factor -&gt; CDB'!$A$2:$B$104,2,FALSE)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97A7-0ED6-4CE6-B413-011A1F679140}">
  <dimension ref="A2:J29"/>
  <sheetViews>
    <sheetView tabSelected="1" workbookViewId="0">
      <selection activeCell="C10" sqref="C10"/>
    </sheetView>
  </sheetViews>
  <sheetFormatPr defaultColWidth="9.1796875" defaultRowHeight="14.5" x14ac:dyDescent="0.35"/>
  <cols>
    <col min="1" max="1" width="15" style="8" bestFit="1" customWidth="1"/>
    <col min="2" max="2" width="15" style="8" customWidth="1"/>
    <col min="3" max="3" width="30.453125" style="8" customWidth="1"/>
    <col min="4" max="4" width="30.453125" style="8" bestFit="1" customWidth="1"/>
    <col min="5" max="5" width="11.54296875" style="8" customWidth="1"/>
    <col min="6" max="6" width="13.54296875" style="8" bestFit="1" customWidth="1"/>
    <col min="7" max="16384" width="9.1796875" style="8"/>
  </cols>
  <sheetData>
    <row r="2" spans="1:10" ht="15" customHeight="1" x14ac:dyDescent="0.35">
      <c r="A2" s="32" t="s">
        <v>16</v>
      </c>
      <c r="B2" s="32" t="s">
        <v>78</v>
      </c>
      <c r="C2" s="12"/>
      <c r="D2" s="24" t="s">
        <v>0</v>
      </c>
      <c r="E2" s="28" t="s">
        <v>79</v>
      </c>
      <c r="H2" s="30" t="s">
        <v>80</v>
      </c>
    </row>
    <row r="3" spans="1:10" x14ac:dyDescent="0.35">
      <c r="A3" s="33"/>
      <c r="B3" s="33"/>
      <c r="C3" s="13" t="s">
        <v>1</v>
      </c>
      <c r="D3" s="25"/>
      <c r="E3" s="29"/>
      <c r="F3" s="9" t="s">
        <v>2</v>
      </c>
      <c r="H3" s="31"/>
      <c r="J3" s="10"/>
    </row>
    <row r="4" spans="1:10" x14ac:dyDescent="0.35">
      <c r="A4" s="14">
        <v>9.1837157660991861E-2</v>
      </c>
      <c r="B4" s="15">
        <v>9.4000768200645707E-2</v>
      </c>
      <c r="C4" s="16" t="s">
        <v>17</v>
      </c>
      <c r="D4" s="16" t="s">
        <v>18</v>
      </c>
      <c r="E4" s="19">
        <v>3401.5416933416705</v>
      </c>
      <c r="F4" s="7">
        <f>E4/H4-1</f>
        <v>-1.1467104521455829E-2</v>
      </c>
      <c r="H4" s="21">
        <v>3441</v>
      </c>
    </row>
    <row r="5" spans="1:10" x14ac:dyDescent="0.35">
      <c r="A5" s="14">
        <v>8.0704663212435232E-2</v>
      </c>
      <c r="B5" s="15">
        <v>8.1598826244779182E-2</v>
      </c>
      <c r="C5" s="16" t="s">
        <v>19</v>
      </c>
      <c r="D5" s="16" t="s">
        <v>20</v>
      </c>
      <c r="E5" s="19">
        <v>2874.6363136615923</v>
      </c>
      <c r="F5" s="7">
        <f t="shared" ref="F5:F17" si="0">E5/H5-1</f>
        <v>-0.13152981460374857</v>
      </c>
      <c r="H5" s="21">
        <v>3310</v>
      </c>
    </row>
    <row r="6" spans="1:10" x14ac:dyDescent="0.35">
      <c r="A6" s="26">
        <v>7.4421909696521099E-2</v>
      </c>
      <c r="B6" s="34">
        <v>7.583386103873184E-2</v>
      </c>
      <c r="C6" s="36" t="s">
        <v>21</v>
      </c>
      <c r="D6" s="16" t="s">
        <v>22</v>
      </c>
      <c r="E6" s="19">
        <v>2474.0482279513803</v>
      </c>
      <c r="F6" s="7">
        <f t="shared" si="0"/>
        <v>2.1489772069108293E-2</v>
      </c>
      <c r="H6" s="21">
        <v>2422</v>
      </c>
    </row>
    <row r="7" spans="1:10" x14ac:dyDescent="0.35">
      <c r="A7" s="27"/>
      <c r="B7" s="35"/>
      <c r="C7" s="37"/>
      <c r="D7" s="16" t="s">
        <v>23</v>
      </c>
      <c r="E7" s="19">
        <v>465.45023255143491</v>
      </c>
      <c r="F7" s="7">
        <f t="shared" si="0"/>
        <v>3.1255011884372408E-3</v>
      </c>
      <c r="H7" s="21">
        <v>464</v>
      </c>
    </row>
    <row r="8" spans="1:10" x14ac:dyDescent="0.35">
      <c r="A8" s="14">
        <v>6.3018998272884277E-2</v>
      </c>
      <c r="B8" s="15">
        <v>6.2379968649108782E-2</v>
      </c>
      <c r="C8" s="16" t="s">
        <v>26</v>
      </c>
      <c r="D8" s="16" t="s">
        <v>27</v>
      </c>
      <c r="E8" s="19">
        <v>2451.4911757350656</v>
      </c>
      <c r="F8" s="7">
        <f>E8/H8-1</f>
        <v>-7.0348435443661095E-2</v>
      </c>
      <c r="H8" s="21">
        <v>2637</v>
      </c>
    </row>
    <row r="9" spans="1:10" x14ac:dyDescent="0.35">
      <c r="A9" s="14">
        <v>5.975425610658771E-2</v>
      </c>
      <c r="B9" s="15">
        <v>6.1511417468605854E-2</v>
      </c>
      <c r="C9" s="16" t="s">
        <v>24</v>
      </c>
      <c r="D9" s="16" t="s">
        <v>25</v>
      </c>
      <c r="E9" s="19">
        <v>2338.6010441362837</v>
      </c>
      <c r="F9" s="7">
        <f t="shared" si="0"/>
        <v>9.7586546357011361E-3</v>
      </c>
      <c r="H9" s="21">
        <v>2316</v>
      </c>
    </row>
    <row r="10" spans="1:10" x14ac:dyDescent="0.35">
      <c r="A10" s="14">
        <v>5.0860103626943008E-2</v>
      </c>
      <c r="B10" s="15">
        <v>5.4511102575548379E-2</v>
      </c>
      <c r="C10" s="16" t="s">
        <v>28</v>
      </c>
      <c r="D10" s="16" t="s">
        <v>29</v>
      </c>
      <c r="E10" s="19">
        <v>2055.6953014171136</v>
      </c>
      <c r="F10" s="7">
        <f t="shared" si="0"/>
        <v>-2.2493912783112857E-2</v>
      </c>
      <c r="H10" s="21">
        <v>2103</v>
      </c>
    </row>
    <row r="11" spans="1:10" x14ac:dyDescent="0.35">
      <c r="A11" s="14">
        <v>5.579471996052307E-2</v>
      </c>
      <c r="B11" s="15">
        <v>5.2341454805925523E-2</v>
      </c>
      <c r="C11" s="16" t="s">
        <v>30</v>
      </c>
      <c r="D11" s="16" t="s">
        <v>31</v>
      </c>
      <c r="E11" s="19">
        <v>2180.9604904005969</v>
      </c>
      <c r="F11" s="7">
        <f t="shared" si="0"/>
        <v>-1.4032328028663277E-2</v>
      </c>
      <c r="H11" s="21">
        <v>2212</v>
      </c>
    </row>
    <row r="12" spans="1:10" x14ac:dyDescent="0.35">
      <c r="A12" s="26">
        <v>4.8365161608684926E-2</v>
      </c>
      <c r="B12" s="34">
        <v>5.0773910245097531E-2</v>
      </c>
      <c r="C12" s="36" t="s">
        <v>34</v>
      </c>
      <c r="D12" s="16" t="s">
        <v>35</v>
      </c>
      <c r="E12" s="19">
        <v>1486.443585236532</v>
      </c>
      <c r="F12" s="7">
        <f>E12/H12-1</f>
        <v>3.6756146094072406E-3</v>
      </c>
      <c r="H12" s="21">
        <v>1481</v>
      </c>
    </row>
    <row r="13" spans="1:10" x14ac:dyDescent="0.35">
      <c r="A13" s="27"/>
      <c r="B13" s="35"/>
      <c r="C13" s="37"/>
      <c r="D13" s="16" t="s">
        <v>36</v>
      </c>
      <c r="E13" s="19">
        <v>468.91519031211288</v>
      </c>
      <c r="F13" s="7">
        <f>E13/H13-1</f>
        <v>9.3042401659936713E-2</v>
      </c>
      <c r="H13" s="21">
        <v>429</v>
      </c>
    </row>
    <row r="14" spans="1:10" x14ac:dyDescent="0.35">
      <c r="A14" s="14">
        <v>5.1181840611892425E-2</v>
      </c>
      <c r="B14" s="15">
        <v>4.8154415250512998E-2</v>
      </c>
      <c r="C14" s="16" t="s">
        <v>32</v>
      </c>
      <c r="D14" s="16" t="s">
        <v>33</v>
      </c>
      <c r="E14" s="19">
        <v>2021.0782209685997</v>
      </c>
      <c r="F14" s="7">
        <f t="shared" si="0"/>
        <v>-5.8641313484507629E-3</v>
      </c>
      <c r="H14" s="21">
        <v>2033</v>
      </c>
    </row>
    <row r="15" spans="1:10" x14ac:dyDescent="0.35">
      <c r="A15" s="26">
        <v>4.6081421169504068E-2</v>
      </c>
      <c r="B15" s="34">
        <v>4.5393045361902092E-2</v>
      </c>
      <c r="C15" s="36" t="s">
        <v>37</v>
      </c>
      <c r="D15" s="16" t="s">
        <v>38</v>
      </c>
      <c r="E15" s="19">
        <v>1417.0206786008314</v>
      </c>
      <c r="F15" s="7">
        <f t="shared" si="0"/>
        <v>-9.7689178191254777E-3</v>
      </c>
      <c r="H15" s="21">
        <v>1431</v>
      </c>
    </row>
    <row r="16" spans="1:10" x14ac:dyDescent="0.35">
      <c r="A16" s="27"/>
      <c r="B16" s="35"/>
      <c r="C16" s="37"/>
      <c r="D16" s="16" t="s">
        <v>39</v>
      </c>
      <c r="E16" s="19">
        <v>258.76553027796882</v>
      </c>
      <c r="F16" s="7">
        <f t="shared" si="0"/>
        <v>-4.1609147118633949E-2</v>
      </c>
      <c r="H16" s="21">
        <v>270</v>
      </c>
    </row>
    <row r="17" spans="1:8" x14ac:dyDescent="0.35">
      <c r="A17" s="14">
        <v>4.2972612879348629E-2</v>
      </c>
      <c r="B17" s="15">
        <v>4.3901628792990685E-2</v>
      </c>
      <c r="C17" s="16" t="s">
        <v>40</v>
      </c>
      <c r="D17" s="16" t="s">
        <v>41</v>
      </c>
      <c r="E17" s="19">
        <v>1780.3890099125122</v>
      </c>
      <c r="F17" s="7">
        <f t="shared" si="0"/>
        <v>-2.1226492626436499E-2</v>
      </c>
      <c r="H17" s="21">
        <v>1819.0000000000002</v>
      </c>
    </row>
    <row r="18" spans="1:8" x14ac:dyDescent="0.35">
      <c r="A18" s="14">
        <v>4.4812237848507276E-2</v>
      </c>
      <c r="B18" s="15">
        <v>4.303999833902563E-2</v>
      </c>
      <c r="C18" s="16" t="s">
        <v>42</v>
      </c>
      <c r="D18" s="16" t="s">
        <v>43</v>
      </c>
      <c r="E18" s="19">
        <v>1791.143481891439</v>
      </c>
      <c r="F18" s="7">
        <f>E18/H18-1</f>
        <v>0.14376978409415009</v>
      </c>
      <c r="H18" s="21">
        <v>1566</v>
      </c>
    </row>
    <row r="19" spans="1:8" x14ac:dyDescent="0.35">
      <c r="A19" s="14">
        <v>3.8971625956081918E-2</v>
      </c>
      <c r="B19" s="15">
        <v>3.9275123102423294E-2</v>
      </c>
      <c r="C19" s="16" t="s">
        <v>44</v>
      </c>
      <c r="D19" s="16" t="s">
        <v>45</v>
      </c>
      <c r="E19" s="19">
        <v>1504.200146375038</v>
      </c>
      <c r="F19" s="7">
        <f>E19/H19-1</f>
        <v>3.5237540519640786E-2</v>
      </c>
      <c r="H19" s="21">
        <v>1453</v>
      </c>
    </row>
    <row r="20" spans="1:8" x14ac:dyDescent="0.35">
      <c r="A20" s="14">
        <v>3.9465087589439923E-2</v>
      </c>
      <c r="B20" s="15">
        <v>3.8541526089408869E-2</v>
      </c>
      <c r="C20" s="16" t="s">
        <v>46</v>
      </c>
      <c r="D20" s="16" t="s">
        <v>47</v>
      </c>
      <c r="E20" s="19">
        <v>1542.2535083380385</v>
      </c>
      <c r="F20" s="7">
        <f t="shared" ref="F20:F28" si="1">E20/H20-1</f>
        <v>-3.9094387328324931E-2</v>
      </c>
      <c r="H20" s="21">
        <v>1605</v>
      </c>
    </row>
    <row r="21" spans="1:8" x14ac:dyDescent="0.35">
      <c r="A21" s="14">
        <v>3.3681717246484083E-2</v>
      </c>
      <c r="B21" s="15">
        <v>3.5579455131199672E-2</v>
      </c>
      <c r="C21" s="16" t="s">
        <v>48</v>
      </c>
      <c r="D21" s="16" t="s">
        <v>49</v>
      </c>
      <c r="E21" s="19">
        <v>1323.3656058585329</v>
      </c>
      <c r="F21" s="7">
        <f t="shared" si="1"/>
        <v>6.3616774589603242E-3</v>
      </c>
      <c r="H21" s="21">
        <v>1315</v>
      </c>
    </row>
    <row r="22" spans="1:8" x14ac:dyDescent="0.35">
      <c r="A22" s="17">
        <v>3.0730816679003209E-2</v>
      </c>
      <c r="B22" s="14">
        <v>2.9527279773830656E-2</v>
      </c>
      <c r="C22" s="16" t="s">
        <v>52</v>
      </c>
      <c r="D22" s="16" t="s">
        <v>53</v>
      </c>
      <c r="E22" s="19">
        <v>1191.9198673802741</v>
      </c>
      <c r="F22" s="7">
        <f>E22/H22-1</f>
        <v>6.3264823711216778E-2</v>
      </c>
      <c r="H22" s="21">
        <v>1121</v>
      </c>
    </row>
    <row r="23" spans="1:8" x14ac:dyDescent="0.35">
      <c r="A23" s="17">
        <v>2.8095731556871454E-2</v>
      </c>
      <c r="B23" s="14">
        <v>2.8997844193683453E-2</v>
      </c>
      <c r="C23" s="16" t="s">
        <v>50</v>
      </c>
      <c r="D23" s="16" t="s">
        <v>51</v>
      </c>
      <c r="E23" s="19">
        <v>1120.4124217231986</v>
      </c>
      <c r="F23" s="7">
        <f t="shared" si="1"/>
        <v>2.0412041642257295E-2</v>
      </c>
      <c r="H23" s="21">
        <v>1098</v>
      </c>
    </row>
    <row r="24" spans="1:8" x14ac:dyDescent="0.35">
      <c r="A24" s="17">
        <v>2.9870219590426843E-2</v>
      </c>
      <c r="B24" s="14">
        <v>2.8181198462214563E-2</v>
      </c>
      <c r="C24" s="16" t="s">
        <v>54</v>
      </c>
      <c r="D24" s="16" t="s">
        <v>55</v>
      </c>
      <c r="E24" s="19">
        <v>1231.5680451065489</v>
      </c>
      <c r="F24" s="7">
        <f t="shared" si="1"/>
        <v>9.4820041856957804E-3</v>
      </c>
      <c r="H24" s="21">
        <v>1220</v>
      </c>
    </row>
    <row r="25" spans="1:8" x14ac:dyDescent="0.35">
      <c r="A25" s="17">
        <v>2.3818406118924253E-2</v>
      </c>
      <c r="B25" s="14">
        <v>2.4021841812953523E-2</v>
      </c>
      <c r="C25" s="16" t="s">
        <v>58</v>
      </c>
      <c r="D25" s="16" t="s">
        <v>59</v>
      </c>
      <c r="E25" s="19">
        <v>840.34850936719374</v>
      </c>
      <c r="F25" s="7">
        <f>E25/H25-1</f>
        <v>8.8217399366070648E-3</v>
      </c>
      <c r="H25" s="21">
        <v>833</v>
      </c>
    </row>
    <row r="26" spans="1:8" x14ac:dyDescent="0.35">
      <c r="A26" s="17">
        <v>2.4442141623488775E-2</v>
      </c>
      <c r="B26" s="14">
        <v>2.3596217130874401E-2</v>
      </c>
      <c r="C26" s="16" t="s">
        <v>56</v>
      </c>
      <c r="D26" s="16" t="s">
        <v>57</v>
      </c>
      <c r="E26" s="19">
        <v>988.98967855847388</v>
      </c>
      <c r="F26" s="7">
        <f t="shared" si="1"/>
        <v>-3.7947783503430088E-2</v>
      </c>
      <c r="H26" s="21">
        <v>1028</v>
      </c>
    </row>
    <row r="27" spans="1:8" x14ac:dyDescent="0.35">
      <c r="A27" s="17">
        <v>2.1996545768566494E-2</v>
      </c>
      <c r="B27" s="14">
        <v>2.1900639129095772E-2</v>
      </c>
      <c r="C27" s="16" t="s">
        <v>60</v>
      </c>
      <c r="D27" s="16" t="s">
        <v>61</v>
      </c>
      <c r="E27" s="19">
        <v>893.93911362414258</v>
      </c>
      <c r="F27" s="7">
        <f t="shared" si="1"/>
        <v>9.4172721694177008E-2</v>
      </c>
      <c r="H27" s="21">
        <v>817</v>
      </c>
    </row>
    <row r="28" spans="1:8" x14ac:dyDescent="0.35">
      <c r="A28" s="17">
        <v>1.9122625215889463E-2</v>
      </c>
      <c r="B28" s="14">
        <v>1.6938478201441589E-2</v>
      </c>
      <c r="C28" s="16" t="s">
        <v>62</v>
      </c>
      <c r="D28" s="16" t="s">
        <v>63</v>
      </c>
      <c r="E28" s="19">
        <v>677.75508024309011</v>
      </c>
      <c r="F28" s="7">
        <f t="shared" si="1"/>
        <v>-8.9038870641007906E-2</v>
      </c>
      <c r="H28" s="21">
        <v>744</v>
      </c>
    </row>
    <row r="29" spans="1:8" x14ac:dyDescent="0.35">
      <c r="A29" s="18"/>
      <c r="B29" s="18"/>
      <c r="C29" s="18"/>
      <c r="D29" s="18" t="s">
        <v>64</v>
      </c>
      <c r="E29" s="20">
        <f>SUM(E4:E28)</f>
        <v>38780.932152969661</v>
      </c>
      <c r="F29" s="22">
        <f>E29/H29-1</f>
        <v>-9.8822469115180667E-3</v>
      </c>
      <c r="H29" s="20">
        <f>SUM(H4:H28)</f>
        <v>39168</v>
      </c>
    </row>
  </sheetData>
  <mergeCells count="14">
    <mergeCell ref="A12:A13"/>
    <mergeCell ref="B12:B13"/>
    <mergeCell ref="C12:C13"/>
    <mergeCell ref="A15:A16"/>
    <mergeCell ref="B15:B16"/>
    <mergeCell ref="C15:C16"/>
    <mergeCell ref="D2:D3"/>
    <mergeCell ref="A6:A7"/>
    <mergeCell ref="E2:E3"/>
    <mergeCell ref="H2:H3"/>
    <mergeCell ref="A2:A3"/>
    <mergeCell ref="B2:B3"/>
    <mergeCell ref="B6:B7"/>
    <mergeCell ref="C6:C7"/>
  </mergeCells>
  <conditionalFormatting sqref="F4:F28">
    <cfRule type="cellIs" dxfId="0" priority="1" operator="greaterThan">
      <formula>$F$29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A4DA-6E05-4E1F-8205-846A959300C8}">
  <dimension ref="A1:E191"/>
  <sheetViews>
    <sheetView workbookViewId="0">
      <selection activeCell="A2" sqref="A2"/>
    </sheetView>
  </sheetViews>
  <sheetFormatPr defaultRowHeight="14.5" x14ac:dyDescent="0.35"/>
  <cols>
    <col min="2" max="2" width="20.453125" bestFit="1" customWidth="1"/>
    <col min="3" max="3" width="94.81640625" bestFit="1" customWidth="1"/>
    <col min="4" max="4" width="13.1796875" style="1" customWidth="1"/>
    <col min="5" max="5" width="75" bestFit="1" customWidth="1"/>
  </cols>
  <sheetData>
    <row r="1" spans="1:5" x14ac:dyDescent="0.35">
      <c r="A1" t="s">
        <v>6</v>
      </c>
      <c r="B1" t="s">
        <v>7</v>
      </c>
      <c r="C1" t="s">
        <v>5</v>
      </c>
      <c r="D1" s="1" t="s">
        <v>8</v>
      </c>
      <c r="E1" t="s">
        <v>9</v>
      </c>
    </row>
    <row r="2" spans="1:5" x14ac:dyDescent="0.35">
      <c r="A2" s="2">
        <v>45925</v>
      </c>
      <c r="B2" t="s">
        <v>64</v>
      </c>
      <c r="C2" t="s">
        <v>3</v>
      </c>
      <c r="D2" s="1">
        <v>9.4799999999999995E-2</v>
      </c>
      <c r="E2" s="38" t="str">
        <f>VLOOKUP(DatabaseKalbar[[#This Row],[External Factor]],[2]!Table1[#Data],2,FALSE)</f>
        <v>Petani;Petani/Nelayan;Pegawai Swasta-Pertanian;Wiraswasta-Pertanian;Nelayan</v>
      </c>
    </row>
    <row r="3" spans="1:5" x14ac:dyDescent="0.35">
      <c r="A3" s="2">
        <v>45925</v>
      </c>
      <c r="B3" t="s">
        <v>64</v>
      </c>
      <c r="C3" t="s">
        <v>4</v>
      </c>
      <c r="D3" s="1">
        <v>8.3799999999999999E-2</v>
      </c>
      <c r="E3" s="38" t="str">
        <f>VLOOKUP(DatabaseKalbar[[#This Row],[External Factor]],[2]!Table1[#Data],2,FALSE)</f>
        <v>Petani;Petani/Nelayan;Pegawai Swasta-Pertanian;Wiraswasta-Pertanian</v>
      </c>
    </row>
    <row r="4" spans="1:5" x14ac:dyDescent="0.35">
      <c r="A4" s="2">
        <v>45925</v>
      </c>
      <c r="B4" t="s">
        <v>64</v>
      </c>
      <c r="C4" t="s">
        <v>65</v>
      </c>
      <c r="D4" s="1">
        <v>8.2000000000000003E-2</v>
      </c>
      <c r="E4" s="38" t="str">
        <f>VLOOKUP(DatabaseKalbar[[#This Row],[External Factor]],[2]!Table1[#Data],2,FALSE)</f>
        <v>Pegawai Swasta-Perdagangan;Wiraswasta/Pedagang;Wiraswasta-Perdagangan</v>
      </c>
    </row>
    <row r="5" spans="1:5" x14ac:dyDescent="0.35">
      <c r="A5" s="2">
        <v>45925</v>
      </c>
      <c r="B5" t="s">
        <v>64</v>
      </c>
      <c r="C5" t="s">
        <v>66</v>
      </c>
      <c r="D5" s="1">
        <v>3.7499999999999999E-2</v>
      </c>
      <c r="E5" s="38" t="str">
        <f>VLOOKUP(DatabaseKalbar[[#This Row],[External Factor]],[2]!Table1[#Data],2,FALSE)</f>
        <v>Petani;Petani/Nelayan;Pegawai Swasta-Pertanian;Wiraswasta-Pertanian</v>
      </c>
    </row>
    <row r="6" spans="1:5" x14ac:dyDescent="0.35">
      <c r="A6" s="2">
        <v>45925</v>
      </c>
      <c r="B6" t="s">
        <v>64</v>
      </c>
      <c r="C6" t="s">
        <v>71</v>
      </c>
      <c r="D6" s="1">
        <v>3.5200000000000002E-2</v>
      </c>
      <c r="E6" s="38" t="str">
        <f>VLOOKUP(DatabaseKalbar[[#This Row],[External Factor]],[2]!Table1[#Data],2,FALSE)</f>
        <v>Ojek; Pegawai Swasta</v>
      </c>
    </row>
    <row r="7" spans="1:5" x14ac:dyDescent="0.35">
      <c r="A7" s="2">
        <v>45925</v>
      </c>
      <c r="B7" t="s">
        <v>64</v>
      </c>
      <c r="C7" t="s">
        <v>67</v>
      </c>
      <c r="D7" s="1">
        <v>2.9000000000000001E-2</v>
      </c>
      <c r="E7" s="38" t="str">
        <f>VLOOKUP(DatabaseKalbar[[#This Row],[External Factor]],[2]!Table1[#Data],2,FALSE)</f>
        <v>Petani;Petani/Nelayan;Pegawai Swasta-Pertanian;Wiraswasta-Pertanian</v>
      </c>
    </row>
    <row r="8" spans="1:5" x14ac:dyDescent="0.35">
      <c r="A8" s="2">
        <v>45925</v>
      </c>
      <c r="B8" t="s">
        <v>64</v>
      </c>
      <c r="C8" t="s">
        <v>68</v>
      </c>
      <c r="D8" s="1">
        <v>2.6200000000000001E-2</v>
      </c>
      <c r="E8" s="38" t="str">
        <f>VLOOKUP(DatabaseKalbar[[#This Row],[External Factor]],[2]!Table1[#Data],2,FALSE)</f>
        <v>Ojek; Pegawai Swasta</v>
      </c>
    </row>
    <row r="9" spans="1:5" x14ac:dyDescent="0.35">
      <c r="A9" s="2">
        <v>45925</v>
      </c>
      <c r="B9" t="s">
        <v>64</v>
      </c>
      <c r="C9" t="s">
        <v>69</v>
      </c>
      <c r="D9" s="1">
        <v>2.3800000000000002E-2</v>
      </c>
      <c r="E9" s="38" t="str">
        <f>VLOOKUP(DatabaseKalbar[[#This Row],[External Factor]],[2]!Table1[#Data],2,FALSE)</f>
        <v>Pegawai Swasta;Pegawai Swasta-Industri;Wiraswasta-Industri</v>
      </c>
    </row>
    <row r="10" spans="1:5" x14ac:dyDescent="0.35">
      <c r="A10" s="2">
        <v>45925</v>
      </c>
      <c r="B10" t="s">
        <v>64</v>
      </c>
      <c r="C10" t="s">
        <v>13</v>
      </c>
      <c r="D10" s="1">
        <v>2.3400000000000001E-2</v>
      </c>
      <c r="E10" s="38" t="str">
        <f>VLOOKUP(DatabaseKalbar[[#This Row],[External Factor]],[2]!Table1[#Data],2,FALSE)</f>
        <v>Pegawai Swasta-Perdagangan;Wiraswasta/Pedagang;Wiraswasta-Perdagangan</v>
      </c>
    </row>
    <row r="11" spans="1:5" x14ac:dyDescent="0.35">
      <c r="A11" s="2">
        <v>45925</v>
      </c>
      <c r="B11" t="s">
        <v>64</v>
      </c>
      <c r="C11" t="s">
        <v>75</v>
      </c>
      <c r="D11" s="1">
        <v>2.18E-2</v>
      </c>
      <c r="E11" s="38" t="str">
        <f>VLOOKUP(DatabaseKalbar[[#This Row],[External Factor]],[2]!Table1[#Data],2,FALSE)</f>
        <v>Pegawai Swasta-Konstruksi;Wiraswasta-Konstruksi</v>
      </c>
    </row>
    <row r="12" spans="1:5" x14ac:dyDescent="0.35">
      <c r="A12" s="2">
        <v>45925</v>
      </c>
      <c r="B12" t="s">
        <v>18</v>
      </c>
      <c r="C12" t="s">
        <v>71</v>
      </c>
      <c r="D12" s="1">
        <v>0.28089999999999998</v>
      </c>
      <c r="E12" s="38" t="str">
        <f>VLOOKUP(DatabaseKalbar[[#This Row],[External Factor]],[2]!Table1[#Data],2,FALSE)</f>
        <v>Ojek; Pegawai Swasta</v>
      </c>
    </row>
    <row r="13" spans="1:5" x14ac:dyDescent="0.35">
      <c r="A13" s="2">
        <v>45925</v>
      </c>
      <c r="B13" t="s">
        <v>18</v>
      </c>
      <c r="C13" t="s">
        <v>13</v>
      </c>
      <c r="D13" s="1">
        <v>6.6799999999999998E-2</v>
      </c>
      <c r="E13" s="38" t="str">
        <f>VLOOKUP(DatabaseKalbar[[#This Row],[External Factor]],[2]!Table1[#Data],2,FALSE)</f>
        <v>Pegawai Swasta-Perdagangan;Wiraswasta/Pedagang;Wiraswasta-Perdagangan</v>
      </c>
    </row>
    <row r="14" spans="1:5" x14ac:dyDescent="0.35">
      <c r="A14" s="2">
        <v>45925</v>
      </c>
      <c r="B14" t="s">
        <v>18</v>
      </c>
      <c r="C14" t="s">
        <v>69</v>
      </c>
      <c r="D14" s="1">
        <v>6.0600000000000001E-2</v>
      </c>
      <c r="E14" s="38" t="str">
        <f>VLOOKUP(DatabaseKalbar[[#This Row],[External Factor]],[2]!Table1[#Data],2,FALSE)</f>
        <v>Pegawai Swasta;Pegawai Swasta-Industri;Wiraswasta-Industri</v>
      </c>
    </row>
    <row r="15" spans="1:5" x14ac:dyDescent="0.35">
      <c r="A15" s="2">
        <v>45925</v>
      </c>
      <c r="B15" t="s">
        <v>18</v>
      </c>
      <c r="C15" t="s">
        <v>70</v>
      </c>
      <c r="D15" s="1">
        <v>4.7300000000000002E-2</v>
      </c>
      <c r="E15" s="38">
        <f>VLOOKUP(DatabaseKalbar[[#This Row],[External Factor]],[2]!Table1[#Data],2,FALSE)</f>
        <v>0</v>
      </c>
    </row>
    <row r="16" spans="1:5" x14ac:dyDescent="0.35">
      <c r="A16" s="2">
        <v>45925</v>
      </c>
      <c r="B16" t="s">
        <v>18</v>
      </c>
      <c r="C16" t="s">
        <v>3</v>
      </c>
      <c r="D16" s="1">
        <v>4.53E-2</v>
      </c>
      <c r="E16" s="38" t="str">
        <f>VLOOKUP(DatabaseKalbar[[#This Row],[External Factor]],[2]!Table1[#Data],2,FALSE)</f>
        <v>Petani;Petani/Nelayan;Pegawai Swasta-Pertanian;Wiraswasta-Pertanian;Nelayan</v>
      </c>
    </row>
    <row r="17" spans="1:5" x14ac:dyDescent="0.35">
      <c r="A17" s="2">
        <v>45925</v>
      </c>
      <c r="B17" t="s">
        <v>18</v>
      </c>
      <c r="C17" t="s">
        <v>73</v>
      </c>
      <c r="D17" s="1">
        <v>3.3399999999999999E-2</v>
      </c>
      <c r="E17" s="38" t="str">
        <f>VLOOKUP(DatabaseKalbar[[#This Row],[External Factor]],[2]!Table1[#Data],2,FALSE)</f>
        <v>Pegawai Swasta-Jasa;Wiraswasta-Jasa</v>
      </c>
    </row>
    <row r="18" spans="1:5" x14ac:dyDescent="0.35">
      <c r="A18" s="2">
        <v>45925</v>
      </c>
      <c r="B18" t="s">
        <v>18</v>
      </c>
      <c r="C18" t="s">
        <v>72</v>
      </c>
      <c r="D18" s="1">
        <v>2.53E-2</v>
      </c>
      <c r="E18" s="38" t="str">
        <f>VLOOKUP(DatabaseKalbar[[#This Row],[External Factor]],[2]!Table1[#Data],2,FALSE)</f>
        <v>Pegawai Swasta-Konstruksi;Wiraswasta-Konstruksi</v>
      </c>
    </row>
    <row r="19" spans="1:5" x14ac:dyDescent="0.35">
      <c r="A19" s="2">
        <v>45925</v>
      </c>
      <c r="B19" t="s">
        <v>18</v>
      </c>
      <c r="C19" t="s">
        <v>4</v>
      </c>
      <c r="D19" s="1">
        <v>2.35E-2</v>
      </c>
      <c r="E19" s="38" t="str">
        <f>VLOOKUP(DatabaseKalbar[[#This Row],[External Factor]],[2]!Table1[#Data],2,FALSE)</f>
        <v>Petani;Petani/Nelayan;Pegawai Swasta-Pertanian;Wiraswasta-Pertanian</v>
      </c>
    </row>
    <row r="20" spans="1:5" x14ac:dyDescent="0.35">
      <c r="A20" s="2">
        <v>45925</v>
      </c>
      <c r="B20" t="s">
        <v>18</v>
      </c>
      <c r="C20" t="s">
        <v>65</v>
      </c>
      <c r="D20" s="1">
        <v>2.24E-2</v>
      </c>
      <c r="E20" s="38" t="str">
        <f>VLOOKUP(DatabaseKalbar[[#This Row],[External Factor]],[2]!Table1[#Data],2,FALSE)</f>
        <v>Pegawai Swasta-Perdagangan;Wiraswasta/Pedagang;Wiraswasta-Perdagangan</v>
      </c>
    </row>
    <row r="21" spans="1:5" x14ac:dyDescent="0.35">
      <c r="A21" s="2">
        <v>45925</v>
      </c>
      <c r="B21" t="s">
        <v>18</v>
      </c>
      <c r="C21" t="s">
        <v>75</v>
      </c>
      <c r="D21" s="1">
        <v>1.0800000000000001E-2</v>
      </c>
      <c r="E21" s="38" t="str">
        <f>VLOOKUP(DatabaseKalbar[[#This Row],[External Factor]],[2]!Table1[#Data],2,FALSE)</f>
        <v>Pegawai Swasta-Konstruksi;Wiraswasta-Konstruksi</v>
      </c>
    </row>
    <row r="22" spans="1:5" x14ac:dyDescent="0.35">
      <c r="A22" s="2">
        <v>45925</v>
      </c>
      <c r="B22" t="s">
        <v>20</v>
      </c>
      <c r="C22" t="s">
        <v>66</v>
      </c>
      <c r="D22" s="1">
        <v>0.15179999999999999</v>
      </c>
      <c r="E22" s="38" t="str">
        <f>VLOOKUP(DatabaseKalbar[[#This Row],[External Factor]],[2]!Table1[#Data],2,FALSE)</f>
        <v>Petani;Petani/Nelayan;Pegawai Swasta-Pertanian;Wiraswasta-Pertanian</v>
      </c>
    </row>
    <row r="23" spans="1:5" x14ac:dyDescent="0.35">
      <c r="A23" s="2">
        <v>45925</v>
      </c>
      <c r="B23" t="s">
        <v>20</v>
      </c>
      <c r="C23" t="s">
        <v>3</v>
      </c>
      <c r="D23" s="1">
        <v>7.9899999999999999E-2</v>
      </c>
      <c r="E23" s="38" t="str">
        <f>VLOOKUP(DatabaseKalbar[[#This Row],[External Factor]],[2]!Table1[#Data],2,FALSE)</f>
        <v>Petani;Petani/Nelayan;Pegawai Swasta-Pertanian;Wiraswasta-Pertanian;Nelayan</v>
      </c>
    </row>
    <row r="24" spans="1:5" x14ac:dyDescent="0.35">
      <c r="A24" s="2">
        <v>45925</v>
      </c>
      <c r="B24" t="s">
        <v>20</v>
      </c>
      <c r="C24" t="s">
        <v>4</v>
      </c>
      <c r="D24" s="1">
        <v>6.83E-2</v>
      </c>
      <c r="E24" s="38" t="str">
        <f>VLOOKUP(DatabaseKalbar[[#This Row],[External Factor]],[2]!Table1[#Data],2,FALSE)</f>
        <v>Petani;Petani/Nelayan;Pegawai Swasta-Pertanian;Wiraswasta-Pertanian</v>
      </c>
    </row>
    <row r="25" spans="1:5" x14ac:dyDescent="0.35">
      <c r="A25" s="2">
        <v>45925</v>
      </c>
      <c r="B25" t="s">
        <v>20</v>
      </c>
      <c r="C25" t="s">
        <v>65</v>
      </c>
      <c r="D25" s="1">
        <v>6.6100000000000006E-2</v>
      </c>
      <c r="E25" s="38" t="str">
        <f>VLOOKUP(DatabaseKalbar[[#This Row],[External Factor]],[2]!Table1[#Data],2,FALSE)</f>
        <v>Pegawai Swasta-Perdagangan;Wiraswasta/Pedagang;Wiraswasta-Perdagangan</v>
      </c>
    </row>
    <row r="26" spans="1:5" x14ac:dyDescent="0.35">
      <c r="A26" s="2">
        <v>45925</v>
      </c>
      <c r="B26" t="s">
        <v>20</v>
      </c>
      <c r="C26" t="s">
        <v>67</v>
      </c>
      <c r="D26" s="1">
        <v>3.9E-2</v>
      </c>
      <c r="E26" s="38" t="str">
        <f>VLOOKUP(DatabaseKalbar[[#This Row],[External Factor]],[2]!Table1[#Data],2,FALSE)</f>
        <v>Petani;Petani/Nelayan;Pegawai Swasta-Pertanian;Wiraswasta-Pertanian</v>
      </c>
    </row>
    <row r="27" spans="1:5" x14ac:dyDescent="0.35">
      <c r="A27" s="2">
        <v>45925</v>
      </c>
      <c r="B27" t="s">
        <v>20</v>
      </c>
      <c r="C27" t="s">
        <v>71</v>
      </c>
      <c r="D27" s="1">
        <v>1.66E-2</v>
      </c>
      <c r="E27" s="38" t="str">
        <f>VLOOKUP(DatabaseKalbar[[#This Row],[External Factor]],[2]!Table1[#Data],2,FALSE)</f>
        <v>Ojek; Pegawai Swasta</v>
      </c>
    </row>
    <row r="28" spans="1:5" x14ac:dyDescent="0.35">
      <c r="A28" s="2">
        <v>45925</v>
      </c>
      <c r="B28" t="s">
        <v>20</v>
      </c>
      <c r="C28" t="s">
        <v>70</v>
      </c>
      <c r="D28" s="1">
        <v>1.52E-2</v>
      </c>
      <c r="E28" s="38">
        <f>VLOOKUP(DatabaseKalbar[[#This Row],[External Factor]],[2]!Table1[#Data],2,FALSE)</f>
        <v>0</v>
      </c>
    </row>
    <row r="29" spans="1:5" x14ac:dyDescent="0.35">
      <c r="A29" s="2">
        <v>45925</v>
      </c>
      <c r="B29" t="s">
        <v>20</v>
      </c>
      <c r="C29" t="s">
        <v>69</v>
      </c>
      <c r="D29" s="1">
        <v>1.52E-2</v>
      </c>
      <c r="E29" s="38" t="str">
        <f>VLOOKUP(DatabaseKalbar[[#This Row],[External Factor]],[2]!Table1[#Data],2,FALSE)</f>
        <v>Pegawai Swasta;Pegawai Swasta-Industri;Wiraswasta-Industri</v>
      </c>
    </row>
    <row r="30" spans="1:5" x14ac:dyDescent="0.35">
      <c r="A30" s="2">
        <v>45925</v>
      </c>
      <c r="B30" t="s">
        <v>20</v>
      </c>
      <c r="C30" t="s">
        <v>68</v>
      </c>
      <c r="D30" s="1">
        <v>1.2200000000000001E-2</v>
      </c>
      <c r="E30" s="38" t="str">
        <f>VLOOKUP(DatabaseKalbar[[#This Row],[External Factor]],[2]!Table1[#Data],2,FALSE)</f>
        <v>Ojek; Pegawai Swasta</v>
      </c>
    </row>
    <row r="31" spans="1:5" x14ac:dyDescent="0.35">
      <c r="A31" s="2">
        <v>45925</v>
      </c>
      <c r="B31" t="s">
        <v>20</v>
      </c>
      <c r="C31" t="s">
        <v>14</v>
      </c>
      <c r="D31" s="1">
        <v>1.1299999999999999E-2</v>
      </c>
      <c r="E31" s="38" t="str">
        <f>VLOOKUP(DatabaseKalbar[[#This Row],[External Factor]],[2]!Table1[#Data],2,FALSE)</f>
        <v>Pegawai Swasta-Perdagangan;Wiraswasta/Pedagang;Wiraswasta-Perdagangan</v>
      </c>
    </row>
    <row r="32" spans="1:5" x14ac:dyDescent="0.35">
      <c r="A32" s="2">
        <v>45925</v>
      </c>
      <c r="B32" t="s">
        <v>22</v>
      </c>
      <c r="C32" t="s">
        <v>3</v>
      </c>
      <c r="D32" s="1">
        <v>0.1472</v>
      </c>
      <c r="E32" s="38" t="str">
        <f>VLOOKUP(DatabaseKalbar[[#This Row],[External Factor]],[2]!Table1[#Data],2,FALSE)</f>
        <v>Petani;Petani/Nelayan;Pegawai Swasta-Pertanian;Wiraswasta-Pertanian;Nelayan</v>
      </c>
    </row>
    <row r="33" spans="1:5" x14ac:dyDescent="0.35">
      <c r="A33" s="2">
        <v>45925</v>
      </c>
      <c r="B33" t="s">
        <v>22</v>
      </c>
      <c r="C33" t="s">
        <v>4</v>
      </c>
      <c r="D33" s="1">
        <v>0.11119999999999999</v>
      </c>
      <c r="E33" s="38" t="str">
        <f>VLOOKUP(DatabaseKalbar[[#This Row],[External Factor]],[2]!Table1[#Data],2,FALSE)</f>
        <v>Petani;Petani/Nelayan;Pegawai Swasta-Pertanian;Wiraswasta-Pertanian</v>
      </c>
    </row>
    <row r="34" spans="1:5" x14ac:dyDescent="0.35">
      <c r="A34" s="2">
        <v>45925</v>
      </c>
      <c r="B34" t="s">
        <v>22</v>
      </c>
      <c r="C34" t="s">
        <v>65</v>
      </c>
      <c r="D34" s="1">
        <v>9.1999999999999998E-2</v>
      </c>
      <c r="E34" s="38" t="str">
        <f>VLOOKUP(DatabaseKalbar[[#This Row],[External Factor]],[2]!Table1[#Data],2,FALSE)</f>
        <v>Pegawai Swasta-Perdagangan;Wiraswasta/Pedagang;Wiraswasta-Perdagangan</v>
      </c>
    </row>
    <row r="35" spans="1:5" x14ac:dyDescent="0.35">
      <c r="A35" s="2">
        <v>45925</v>
      </c>
      <c r="B35" t="s">
        <v>22</v>
      </c>
      <c r="C35" t="s">
        <v>69</v>
      </c>
      <c r="D35" s="1">
        <v>2.3400000000000001E-2</v>
      </c>
      <c r="E35" s="38" t="str">
        <f>VLOOKUP(DatabaseKalbar[[#This Row],[External Factor]],[2]!Table1[#Data],2,FALSE)</f>
        <v>Pegawai Swasta;Pegawai Swasta-Industri;Wiraswasta-Industri</v>
      </c>
    </row>
    <row r="36" spans="1:5" x14ac:dyDescent="0.35">
      <c r="A36" s="2">
        <v>45925</v>
      </c>
      <c r="B36" t="s">
        <v>22</v>
      </c>
      <c r="C36" t="s">
        <v>72</v>
      </c>
      <c r="D36" s="1">
        <v>1.9E-2</v>
      </c>
      <c r="E36" s="38" t="str">
        <f>VLOOKUP(DatabaseKalbar[[#This Row],[External Factor]],[2]!Table1[#Data],2,FALSE)</f>
        <v>Pegawai Swasta-Konstruksi;Wiraswasta-Konstruksi</v>
      </c>
    </row>
    <row r="37" spans="1:5" x14ac:dyDescent="0.35">
      <c r="A37" s="2">
        <v>45925</v>
      </c>
      <c r="B37" t="s">
        <v>22</v>
      </c>
      <c r="C37" t="s">
        <v>74</v>
      </c>
      <c r="D37" s="1">
        <v>1.84E-2</v>
      </c>
      <c r="E37" s="38" t="str">
        <f>VLOOKUP(DatabaseKalbar[[#This Row],[External Factor]],[2]!Table1[#Data],2,FALSE)</f>
        <v>Pegawai Swasta;Pegawai Swasta-Industri;Wiraswasta-Industri</v>
      </c>
    </row>
    <row r="38" spans="1:5" x14ac:dyDescent="0.35">
      <c r="A38" s="2">
        <v>45925</v>
      </c>
      <c r="B38" t="s">
        <v>22</v>
      </c>
      <c r="C38" t="s">
        <v>71</v>
      </c>
      <c r="D38" s="1">
        <v>1.8200000000000001E-2</v>
      </c>
      <c r="E38" s="38" t="str">
        <f>VLOOKUP(DatabaseKalbar[[#This Row],[External Factor]],[2]!Table1[#Data],2,FALSE)</f>
        <v>Ojek; Pegawai Swasta</v>
      </c>
    </row>
    <row r="39" spans="1:5" x14ac:dyDescent="0.35">
      <c r="A39" s="2">
        <v>45925</v>
      </c>
      <c r="B39" t="s">
        <v>22</v>
      </c>
      <c r="C39" t="s">
        <v>67</v>
      </c>
      <c r="D39" s="1">
        <v>1.6400000000000001E-2</v>
      </c>
      <c r="E39" s="38" t="str">
        <f>VLOOKUP(DatabaseKalbar[[#This Row],[External Factor]],[2]!Table1[#Data],2,FALSE)</f>
        <v>Petani;Petani/Nelayan;Pegawai Swasta-Pertanian;Wiraswasta-Pertanian</v>
      </c>
    </row>
    <row r="40" spans="1:5" x14ac:dyDescent="0.35">
      <c r="A40" s="2">
        <v>45925</v>
      </c>
      <c r="B40" t="s">
        <v>22</v>
      </c>
      <c r="C40" t="s">
        <v>70</v>
      </c>
      <c r="D40" s="1">
        <v>1.5599999999999999E-2</v>
      </c>
      <c r="E40" s="38">
        <f>VLOOKUP(DatabaseKalbar[[#This Row],[External Factor]],[2]!Table1[#Data],2,FALSE)</f>
        <v>0</v>
      </c>
    </row>
    <row r="41" spans="1:5" x14ac:dyDescent="0.35">
      <c r="A41" s="2">
        <v>45925</v>
      </c>
      <c r="B41" t="s">
        <v>22</v>
      </c>
      <c r="C41" t="s">
        <v>68</v>
      </c>
      <c r="D41" s="1">
        <v>1.54E-2</v>
      </c>
      <c r="E41" s="38" t="str">
        <f>VLOOKUP(DatabaseKalbar[[#This Row],[External Factor]],[2]!Table1[#Data],2,FALSE)</f>
        <v>Ojek; Pegawai Swasta</v>
      </c>
    </row>
    <row r="42" spans="1:5" x14ac:dyDescent="0.35">
      <c r="A42" s="2">
        <v>45925</v>
      </c>
      <c r="B42" t="s">
        <v>23</v>
      </c>
      <c r="C42" t="s">
        <v>3</v>
      </c>
      <c r="D42" s="1">
        <v>0.1472</v>
      </c>
      <c r="E42" s="38" t="str">
        <f>VLOOKUP(DatabaseKalbar[[#This Row],[External Factor]],[2]!Table1[#Data],2,FALSE)</f>
        <v>Petani;Petani/Nelayan;Pegawai Swasta-Pertanian;Wiraswasta-Pertanian;Nelayan</v>
      </c>
    </row>
    <row r="43" spans="1:5" x14ac:dyDescent="0.35">
      <c r="A43" s="2">
        <v>45925</v>
      </c>
      <c r="B43" t="s">
        <v>23</v>
      </c>
      <c r="C43" t="s">
        <v>4</v>
      </c>
      <c r="D43" s="1">
        <v>0.11119999999999999</v>
      </c>
      <c r="E43" s="38" t="str">
        <f>VLOOKUP(DatabaseKalbar[[#This Row],[External Factor]],[2]!Table1[#Data],2,FALSE)</f>
        <v>Petani;Petani/Nelayan;Pegawai Swasta-Pertanian;Wiraswasta-Pertanian</v>
      </c>
    </row>
    <row r="44" spans="1:5" x14ac:dyDescent="0.35">
      <c r="A44" s="2">
        <v>45925</v>
      </c>
      <c r="B44" t="s">
        <v>23</v>
      </c>
      <c r="C44" t="s">
        <v>65</v>
      </c>
      <c r="D44" s="1">
        <v>9.1999999999999998E-2</v>
      </c>
      <c r="E44" s="38" t="str">
        <f>VLOOKUP(DatabaseKalbar[[#This Row],[External Factor]],[2]!Table1[#Data],2,FALSE)</f>
        <v>Pegawai Swasta-Perdagangan;Wiraswasta/Pedagang;Wiraswasta-Perdagangan</v>
      </c>
    </row>
    <row r="45" spans="1:5" x14ac:dyDescent="0.35">
      <c r="A45" s="2">
        <v>45925</v>
      </c>
      <c r="B45" t="s">
        <v>23</v>
      </c>
      <c r="C45" t="s">
        <v>69</v>
      </c>
      <c r="D45" s="1">
        <v>2.3400000000000001E-2</v>
      </c>
      <c r="E45" s="38" t="str">
        <f>VLOOKUP(DatabaseKalbar[[#This Row],[External Factor]],[2]!Table1[#Data],2,FALSE)</f>
        <v>Pegawai Swasta;Pegawai Swasta-Industri;Wiraswasta-Industri</v>
      </c>
    </row>
    <row r="46" spans="1:5" x14ac:dyDescent="0.35">
      <c r="A46" s="2">
        <v>45925</v>
      </c>
      <c r="B46" t="s">
        <v>23</v>
      </c>
      <c r="C46" t="s">
        <v>72</v>
      </c>
      <c r="D46" s="1">
        <v>1.9E-2</v>
      </c>
      <c r="E46" s="38" t="str">
        <f>VLOOKUP(DatabaseKalbar[[#This Row],[External Factor]],[2]!Table1[#Data],2,FALSE)</f>
        <v>Pegawai Swasta-Konstruksi;Wiraswasta-Konstruksi</v>
      </c>
    </row>
    <row r="47" spans="1:5" x14ac:dyDescent="0.35">
      <c r="A47" s="2">
        <v>45925</v>
      </c>
      <c r="B47" t="s">
        <v>23</v>
      </c>
      <c r="C47" t="s">
        <v>74</v>
      </c>
      <c r="D47" s="1">
        <v>1.84E-2</v>
      </c>
      <c r="E47" s="38" t="str">
        <f>VLOOKUP(DatabaseKalbar[[#This Row],[External Factor]],[2]!Table1[#Data],2,FALSE)</f>
        <v>Pegawai Swasta;Pegawai Swasta-Industri;Wiraswasta-Industri</v>
      </c>
    </row>
    <row r="48" spans="1:5" x14ac:dyDescent="0.35">
      <c r="A48" s="2">
        <v>45925</v>
      </c>
      <c r="B48" t="s">
        <v>23</v>
      </c>
      <c r="C48" t="s">
        <v>71</v>
      </c>
      <c r="D48" s="1">
        <v>1.8200000000000001E-2</v>
      </c>
      <c r="E48" s="38" t="str">
        <f>VLOOKUP(DatabaseKalbar[[#This Row],[External Factor]],[2]!Table1[#Data],2,FALSE)</f>
        <v>Ojek; Pegawai Swasta</v>
      </c>
    </row>
    <row r="49" spans="1:5" x14ac:dyDescent="0.35">
      <c r="A49" s="2">
        <v>45925</v>
      </c>
      <c r="B49" t="s">
        <v>23</v>
      </c>
      <c r="C49" t="s">
        <v>67</v>
      </c>
      <c r="D49" s="1">
        <v>1.6400000000000001E-2</v>
      </c>
      <c r="E49" s="38" t="str">
        <f>VLOOKUP(DatabaseKalbar[[#This Row],[External Factor]],[2]!Table1[#Data],2,FALSE)</f>
        <v>Petani;Petani/Nelayan;Pegawai Swasta-Pertanian;Wiraswasta-Pertanian</v>
      </c>
    </row>
    <row r="50" spans="1:5" x14ac:dyDescent="0.35">
      <c r="A50" s="2">
        <v>45925</v>
      </c>
      <c r="B50" t="s">
        <v>23</v>
      </c>
      <c r="C50" t="s">
        <v>70</v>
      </c>
      <c r="D50" s="1">
        <v>1.5599999999999999E-2</v>
      </c>
      <c r="E50" s="38">
        <f>VLOOKUP(DatabaseKalbar[[#This Row],[External Factor]],[2]!Table1[#Data],2,FALSE)</f>
        <v>0</v>
      </c>
    </row>
    <row r="51" spans="1:5" x14ac:dyDescent="0.35">
      <c r="A51" s="2">
        <v>45925</v>
      </c>
      <c r="B51" t="s">
        <v>23</v>
      </c>
      <c r="C51" t="s">
        <v>68</v>
      </c>
      <c r="D51" s="1">
        <v>1.54E-2</v>
      </c>
      <c r="E51" s="38" t="str">
        <f>VLOOKUP(DatabaseKalbar[[#This Row],[External Factor]],[2]!Table1[#Data],2,FALSE)</f>
        <v>Ojek; Pegawai Swasta</v>
      </c>
    </row>
    <row r="52" spans="1:5" x14ac:dyDescent="0.35">
      <c r="A52" s="2">
        <v>45925</v>
      </c>
      <c r="B52" t="s">
        <v>25</v>
      </c>
      <c r="C52" t="s">
        <v>3</v>
      </c>
      <c r="D52" s="1">
        <v>0.1472</v>
      </c>
      <c r="E52" s="38" t="str">
        <f>VLOOKUP(DatabaseKalbar[[#This Row],[External Factor]],[2]!Table1[#Data],2,FALSE)</f>
        <v>Petani;Petani/Nelayan;Pegawai Swasta-Pertanian;Wiraswasta-Pertanian;Nelayan</v>
      </c>
    </row>
    <row r="53" spans="1:5" x14ac:dyDescent="0.35">
      <c r="A53" s="2">
        <v>45925</v>
      </c>
      <c r="B53" t="s">
        <v>25</v>
      </c>
      <c r="C53" t="s">
        <v>4</v>
      </c>
      <c r="D53" s="1">
        <v>0.11119999999999999</v>
      </c>
      <c r="E53" s="38" t="str">
        <f>VLOOKUP(DatabaseKalbar[[#This Row],[External Factor]],[2]!Table1[#Data],2,FALSE)</f>
        <v>Petani;Petani/Nelayan;Pegawai Swasta-Pertanian;Wiraswasta-Pertanian</v>
      </c>
    </row>
    <row r="54" spans="1:5" x14ac:dyDescent="0.35">
      <c r="A54" s="2">
        <v>45925</v>
      </c>
      <c r="B54" t="s">
        <v>25</v>
      </c>
      <c r="C54" t="s">
        <v>65</v>
      </c>
      <c r="D54" s="1">
        <v>9.1999999999999998E-2</v>
      </c>
      <c r="E54" s="38" t="str">
        <f>VLOOKUP(DatabaseKalbar[[#This Row],[External Factor]],[2]!Table1[#Data],2,FALSE)</f>
        <v>Pegawai Swasta-Perdagangan;Wiraswasta/Pedagang;Wiraswasta-Perdagangan</v>
      </c>
    </row>
    <row r="55" spans="1:5" x14ac:dyDescent="0.35">
      <c r="A55" s="2">
        <v>45925</v>
      </c>
      <c r="B55" t="s">
        <v>25</v>
      </c>
      <c r="C55" t="s">
        <v>69</v>
      </c>
      <c r="D55" s="1">
        <v>2.3400000000000001E-2</v>
      </c>
      <c r="E55" s="38" t="str">
        <f>VLOOKUP(DatabaseKalbar[[#This Row],[External Factor]],[2]!Table1[#Data],2,FALSE)</f>
        <v>Pegawai Swasta;Pegawai Swasta-Industri;Wiraswasta-Industri</v>
      </c>
    </row>
    <row r="56" spans="1:5" x14ac:dyDescent="0.35">
      <c r="A56" s="2">
        <v>45925</v>
      </c>
      <c r="B56" t="s">
        <v>25</v>
      </c>
      <c r="C56" t="s">
        <v>72</v>
      </c>
      <c r="D56" s="1">
        <v>1.9E-2</v>
      </c>
      <c r="E56" s="38" t="str">
        <f>VLOOKUP(DatabaseKalbar[[#This Row],[External Factor]],[2]!Table1[#Data],2,FALSE)</f>
        <v>Pegawai Swasta-Konstruksi;Wiraswasta-Konstruksi</v>
      </c>
    </row>
    <row r="57" spans="1:5" x14ac:dyDescent="0.35">
      <c r="A57" s="2">
        <v>45925</v>
      </c>
      <c r="B57" t="s">
        <v>25</v>
      </c>
      <c r="C57" t="s">
        <v>74</v>
      </c>
      <c r="D57" s="1">
        <v>1.84E-2</v>
      </c>
      <c r="E57" s="38" t="str">
        <f>VLOOKUP(DatabaseKalbar[[#This Row],[External Factor]],[2]!Table1[#Data],2,FALSE)</f>
        <v>Pegawai Swasta;Pegawai Swasta-Industri;Wiraswasta-Industri</v>
      </c>
    </row>
    <row r="58" spans="1:5" x14ac:dyDescent="0.35">
      <c r="A58" s="2">
        <v>45925</v>
      </c>
      <c r="B58" t="s">
        <v>25</v>
      </c>
      <c r="C58" t="s">
        <v>71</v>
      </c>
      <c r="D58" s="1">
        <v>1.8200000000000001E-2</v>
      </c>
      <c r="E58" s="38" t="str">
        <f>VLOOKUP(DatabaseKalbar[[#This Row],[External Factor]],[2]!Table1[#Data],2,FALSE)</f>
        <v>Ojek; Pegawai Swasta</v>
      </c>
    </row>
    <row r="59" spans="1:5" x14ac:dyDescent="0.35">
      <c r="A59" s="2">
        <v>45925</v>
      </c>
      <c r="B59" t="s">
        <v>25</v>
      </c>
      <c r="C59" t="s">
        <v>67</v>
      </c>
      <c r="D59" s="1">
        <v>1.6400000000000001E-2</v>
      </c>
      <c r="E59" s="38" t="str">
        <f>VLOOKUP(DatabaseKalbar[[#This Row],[External Factor]],[2]!Table1[#Data],2,FALSE)</f>
        <v>Petani;Petani/Nelayan;Pegawai Swasta-Pertanian;Wiraswasta-Pertanian</v>
      </c>
    </row>
    <row r="60" spans="1:5" x14ac:dyDescent="0.35">
      <c r="A60" s="2">
        <v>45925</v>
      </c>
      <c r="B60" t="s">
        <v>25</v>
      </c>
      <c r="C60" t="s">
        <v>70</v>
      </c>
      <c r="D60" s="1">
        <v>1.5599999999999999E-2</v>
      </c>
      <c r="E60" s="38">
        <f>VLOOKUP(DatabaseKalbar[[#This Row],[External Factor]],[2]!Table1[#Data],2,FALSE)</f>
        <v>0</v>
      </c>
    </row>
    <row r="61" spans="1:5" x14ac:dyDescent="0.35">
      <c r="A61" s="2">
        <v>45925</v>
      </c>
      <c r="B61" t="s">
        <v>25</v>
      </c>
      <c r="C61" t="s">
        <v>68</v>
      </c>
      <c r="D61" s="1">
        <v>1.54E-2</v>
      </c>
      <c r="E61" s="38" t="str">
        <f>VLOOKUP(DatabaseKalbar[[#This Row],[External Factor]],[2]!Table1[#Data],2,FALSE)</f>
        <v>Ojek; Pegawai Swasta</v>
      </c>
    </row>
    <row r="62" spans="1:5" x14ac:dyDescent="0.35">
      <c r="A62" s="2">
        <v>45925</v>
      </c>
      <c r="B62" t="s">
        <v>27</v>
      </c>
      <c r="C62" t="s">
        <v>4</v>
      </c>
      <c r="D62" s="1">
        <v>5.33E-2</v>
      </c>
      <c r="E62" s="38" t="str">
        <f>VLOOKUP(DatabaseKalbar[[#This Row],[External Factor]],[2]!Table1[#Data],2,FALSE)</f>
        <v>Petani;Petani/Nelayan;Pegawai Swasta-Pertanian;Wiraswasta-Pertanian</v>
      </c>
    </row>
    <row r="63" spans="1:5" x14ac:dyDescent="0.35">
      <c r="A63" s="2">
        <v>45925</v>
      </c>
      <c r="B63" t="s">
        <v>27</v>
      </c>
      <c r="C63" t="s">
        <v>65</v>
      </c>
      <c r="D63" s="1">
        <v>4.99E-2</v>
      </c>
      <c r="E63" s="38" t="str">
        <f>VLOOKUP(DatabaseKalbar[[#This Row],[External Factor]],[2]!Table1[#Data],2,FALSE)</f>
        <v>Pegawai Swasta-Perdagangan;Wiraswasta/Pedagang;Wiraswasta-Perdagangan</v>
      </c>
    </row>
    <row r="64" spans="1:5" x14ac:dyDescent="0.35">
      <c r="A64" s="2">
        <v>45925</v>
      </c>
      <c r="B64" t="s">
        <v>27</v>
      </c>
      <c r="C64" t="s">
        <v>3</v>
      </c>
      <c r="D64" s="1">
        <v>4.48E-2</v>
      </c>
      <c r="E64" s="38" t="str">
        <f>VLOOKUP(DatabaseKalbar[[#This Row],[External Factor]],[2]!Table1[#Data],2,FALSE)</f>
        <v>Petani;Petani/Nelayan;Pegawai Swasta-Pertanian;Wiraswasta-Pertanian;Nelayan</v>
      </c>
    </row>
    <row r="65" spans="1:5" x14ac:dyDescent="0.35">
      <c r="A65" s="2">
        <v>45925</v>
      </c>
      <c r="B65" t="s">
        <v>27</v>
      </c>
      <c r="C65" t="s">
        <v>75</v>
      </c>
      <c r="D65" s="1">
        <v>4.3499999999999997E-2</v>
      </c>
      <c r="E65" s="38" t="str">
        <f>VLOOKUP(DatabaseKalbar[[#This Row],[External Factor]],[2]!Table1[#Data],2,FALSE)</f>
        <v>Pegawai Swasta-Konstruksi;Wiraswasta-Konstruksi</v>
      </c>
    </row>
    <row r="66" spans="1:5" x14ac:dyDescent="0.35">
      <c r="A66" s="2">
        <v>45925</v>
      </c>
      <c r="B66" t="s">
        <v>27</v>
      </c>
      <c r="C66" t="s">
        <v>66</v>
      </c>
      <c r="D66" s="1">
        <v>2.6499999999999999E-2</v>
      </c>
      <c r="E66" s="38" t="str">
        <f>VLOOKUP(DatabaseKalbar[[#This Row],[External Factor]],[2]!Table1[#Data],2,FALSE)</f>
        <v>Petani;Petani/Nelayan;Pegawai Swasta-Pertanian;Wiraswasta-Pertanian</v>
      </c>
    </row>
    <row r="67" spans="1:5" x14ac:dyDescent="0.35">
      <c r="A67" s="2">
        <v>45925</v>
      </c>
      <c r="B67" t="s">
        <v>27</v>
      </c>
      <c r="C67" t="s">
        <v>67</v>
      </c>
      <c r="D67" s="1">
        <v>2.4199999999999999E-2</v>
      </c>
      <c r="E67" s="38" t="str">
        <f>VLOOKUP(DatabaseKalbar[[#This Row],[External Factor]],[2]!Table1[#Data],2,FALSE)</f>
        <v>Petani;Petani/Nelayan;Pegawai Swasta-Pertanian;Wiraswasta-Pertanian</v>
      </c>
    </row>
    <row r="68" spans="1:5" x14ac:dyDescent="0.35">
      <c r="A68" s="2">
        <v>45925</v>
      </c>
      <c r="B68" t="s">
        <v>27</v>
      </c>
      <c r="C68" t="s">
        <v>70</v>
      </c>
      <c r="D68" s="1">
        <v>2.4199999999999999E-2</v>
      </c>
      <c r="E68" s="38">
        <f>VLOOKUP(DatabaseKalbar[[#This Row],[External Factor]],[2]!Table1[#Data],2,FALSE)</f>
        <v>0</v>
      </c>
    </row>
    <row r="69" spans="1:5" x14ac:dyDescent="0.35">
      <c r="A69" s="2">
        <v>45925</v>
      </c>
      <c r="B69" t="s">
        <v>27</v>
      </c>
      <c r="C69" t="s">
        <v>13</v>
      </c>
      <c r="D69" s="1">
        <v>1.77E-2</v>
      </c>
      <c r="E69" s="38" t="str">
        <f>VLOOKUP(DatabaseKalbar[[#This Row],[External Factor]],[2]!Table1[#Data],2,FALSE)</f>
        <v>Pegawai Swasta-Perdagangan;Wiraswasta/Pedagang;Wiraswasta-Perdagangan</v>
      </c>
    </row>
    <row r="70" spans="1:5" x14ac:dyDescent="0.35">
      <c r="A70" s="2">
        <v>45925</v>
      </c>
      <c r="B70" t="s">
        <v>27</v>
      </c>
      <c r="C70" t="s">
        <v>71</v>
      </c>
      <c r="D70" s="1">
        <v>1.55E-2</v>
      </c>
      <c r="E70" s="38" t="str">
        <f>VLOOKUP(DatabaseKalbar[[#This Row],[External Factor]],[2]!Table1[#Data],2,FALSE)</f>
        <v>Ojek; Pegawai Swasta</v>
      </c>
    </row>
    <row r="71" spans="1:5" x14ac:dyDescent="0.35">
      <c r="A71" s="2">
        <v>45925</v>
      </c>
      <c r="B71" t="s">
        <v>27</v>
      </c>
      <c r="C71" t="s">
        <v>14</v>
      </c>
      <c r="D71" s="1">
        <v>1.4E-2</v>
      </c>
      <c r="E71" s="38" t="str">
        <f>VLOOKUP(DatabaseKalbar[[#This Row],[External Factor]],[2]!Table1[#Data],2,FALSE)</f>
        <v>Pegawai Swasta-Perdagangan;Wiraswasta/Pedagang;Wiraswasta-Perdagangan</v>
      </c>
    </row>
    <row r="72" spans="1:5" x14ac:dyDescent="0.35">
      <c r="A72" s="2">
        <v>45925</v>
      </c>
      <c r="B72" t="s">
        <v>29</v>
      </c>
      <c r="C72" t="s">
        <v>4</v>
      </c>
      <c r="D72" s="1">
        <v>7.1900000000000006E-2</v>
      </c>
      <c r="E72" s="38" t="str">
        <f>VLOOKUP(DatabaseKalbar[[#This Row],[External Factor]],[2]!Table1[#Data],2,FALSE)</f>
        <v>Petani;Petani/Nelayan;Pegawai Swasta-Pertanian;Wiraswasta-Pertanian</v>
      </c>
    </row>
    <row r="73" spans="1:5" x14ac:dyDescent="0.35">
      <c r="A73" s="2">
        <v>45925</v>
      </c>
      <c r="B73" t="s">
        <v>29</v>
      </c>
      <c r="C73" t="s">
        <v>3</v>
      </c>
      <c r="D73" s="1">
        <v>4.41E-2</v>
      </c>
      <c r="E73" s="38" t="str">
        <f>VLOOKUP(DatabaseKalbar[[#This Row],[External Factor]],[2]!Table1[#Data],2,FALSE)</f>
        <v>Petani;Petani/Nelayan;Pegawai Swasta-Pertanian;Wiraswasta-Pertanian;Nelayan</v>
      </c>
    </row>
    <row r="74" spans="1:5" x14ac:dyDescent="0.35">
      <c r="A74" s="2">
        <v>45925</v>
      </c>
      <c r="B74" t="s">
        <v>29</v>
      </c>
      <c r="C74" t="s">
        <v>65</v>
      </c>
      <c r="D74" s="1">
        <v>4.2900000000000001E-2</v>
      </c>
      <c r="E74" s="38" t="str">
        <f>VLOOKUP(DatabaseKalbar[[#This Row],[External Factor]],[2]!Table1[#Data],2,FALSE)</f>
        <v>Pegawai Swasta-Perdagangan;Wiraswasta/Pedagang;Wiraswasta-Perdagangan</v>
      </c>
    </row>
    <row r="75" spans="1:5" x14ac:dyDescent="0.35">
      <c r="A75" s="2">
        <v>45925</v>
      </c>
      <c r="B75" t="s">
        <v>29</v>
      </c>
      <c r="C75" t="s">
        <v>81</v>
      </c>
      <c r="D75" s="1">
        <v>3.0800000000000001E-2</v>
      </c>
      <c r="E75" s="38" t="e">
        <f>VLOOKUP(DatabaseKalbar[[#This Row],[External Factor]],[2]!Table1[#Data],2,FALSE)</f>
        <v>#N/A</v>
      </c>
    </row>
    <row r="76" spans="1:5" x14ac:dyDescent="0.35">
      <c r="A76" s="2">
        <v>45925</v>
      </c>
      <c r="B76" t="s">
        <v>29</v>
      </c>
      <c r="C76" t="s">
        <v>70</v>
      </c>
      <c r="D76" s="1">
        <v>3.04E-2</v>
      </c>
      <c r="E76" s="38">
        <f>VLOOKUP(DatabaseKalbar[[#This Row],[External Factor]],[2]!Table1[#Data],2,FALSE)</f>
        <v>0</v>
      </c>
    </row>
    <row r="77" spans="1:5" x14ac:dyDescent="0.35">
      <c r="A77" s="2">
        <v>45925</v>
      </c>
      <c r="B77" t="s">
        <v>29</v>
      </c>
      <c r="C77" t="s">
        <v>75</v>
      </c>
      <c r="D77" s="1">
        <v>3.0200000000000001E-2</v>
      </c>
      <c r="E77" s="38" t="str">
        <f>VLOOKUP(DatabaseKalbar[[#This Row],[External Factor]],[2]!Table1[#Data],2,FALSE)</f>
        <v>Pegawai Swasta-Konstruksi;Wiraswasta-Konstruksi</v>
      </c>
    </row>
    <row r="78" spans="1:5" x14ac:dyDescent="0.35">
      <c r="A78" s="2">
        <v>45925</v>
      </c>
      <c r="B78" t="s">
        <v>29</v>
      </c>
      <c r="C78" t="s">
        <v>13</v>
      </c>
      <c r="D78" s="1">
        <v>2.2100000000000002E-2</v>
      </c>
      <c r="E78" s="38" t="str">
        <f>VLOOKUP(DatabaseKalbar[[#This Row],[External Factor]],[2]!Table1[#Data],2,FALSE)</f>
        <v>Pegawai Swasta-Perdagangan;Wiraswasta/Pedagang;Wiraswasta-Perdagangan</v>
      </c>
    </row>
    <row r="79" spans="1:5" x14ac:dyDescent="0.35">
      <c r="A79" s="2">
        <v>45925</v>
      </c>
      <c r="B79" t="s">
        <v>29</v>
      </c>
      <c r="C79" t="s">
        <v>66</v>
      </c>
      <c r="D79" s="1">
        <v>2.1499999999999998E-2</v>
      </c>
      <c r="E79" s="38" t="str">
        <f>VLOOKUP(DatabaseKalbar[[#This Row],[External Factor]],[2]!Table1[#Data],2,FALSE)</f>
        <v>Petani;Petani/Nelayan;Pegawai Swasta-Pertanian;Wiraswasta-Pertanian</v>
      </c>
    </row>
    <row r="80" spans="1:5" x14ac:dyDescent="0.35">
      <c r="A80" s="2">
        <v>45925</v>
      </c>
      <c r="B80" t="s">
        <v>29</v>
      </c>
      <c r="C80" t="s">
        <v>71</v>
      </c>
      <c r="D80" s="1">
        <v>2.1100000000000001E-2</v>
      </c>
      <c r="E80" s="38" t="str">
        <f>VLOOKUP(DatabaseKalbar[[#This Row],[External Factor]],[2]!Table1[#Data],2,FALSE)</f>
        <v>Ojek; Pegawai Swasta</v>
      </c>
    </row>
    <row r="81" spans="1:5" x14ac:dyDescent="0.35">
      <c r="A81" s="2">
        <v>45925</v>
      </c>
      <c r="B81" t="s">
        <v>29</v>
      </c>
      <c r="C81" t="s">
        <v>67</v>
      </c>
      <c r="D81" s="1">
        <v>1.55E-2</v>
      </c>
      <c r="E81" s="38" t="str">
        <f>VLOOKUP(DatabaseKalbar[[#This Row],[External Factor]],[2]!Table1[#Data],2,FALSE)</f>
        <v>Petani;Petani/Nelayan;Pegawai Swasta-Pertanian;Wiraswasta-Pertanian</v>
      </c>
    </row>
    <row r="82" spans="1:5" x14ac:dyDescent="0.35">
      <c r="A82" s="2">
        <v>45925</v>
      </c>
      <c r="B82" t="s">
        <v>31</v>
      </c>
      <c r="C82" t="s">
        <v>65</v>
      </c>
      <c r="D82" s="1">
        <v>9.2100000000000001E-2</v>
      </c>
      <c r="E82" s="38" t="str">
        <f>VLOOKUP(DatabaseKalbar[[#This Row],[External Factor]],[2]!Table1[#Data],2,FALSE)</f>
        <v>Pegawai Swasta-Perdagangan;Wiraswasta/Pedagang;Wiraswasta-Perdagangan</v>
      </c>
    </row>
    <row r="83" spans="1:5" x14ac:dyDescent="0.35">
      <c r="A83" s="2">
        <v>45925</v>
      </c>
      <c r="B83" t="s">
        <v>31</v>
      </c>
      <c r="C83" t="s">
        <v>3</v>
      </c>
      <c r="D83" s="1">
        <v>0.08</v>
      </c>
      <c r="E83" s="38" t="str">
        <f>VLOOKUP(DatabaseKalbar[[#This Row],[External Factor]],[2]!Table1[#Data],2,FALSE)</f>
        <v>Petani;Petani/Nelayan;Pegawai Swasta-Pertanian;Wiraswasta-Pertanian;Nelayan</v>
      </c>
    </row>
    <row r="84" spans="1:5" x14ac:dyDescent="0.35">
      <c r="A84" s="2">
        <v>45925</v>
      </c>
      <c r="B84" t="s">
        <v>31</v>
      </c>
      <c r="C84" t="s">
        <v>4</v>
      </c>
      <c r="D84" s="1">
        <v>6.9099999999999995E-2</v>
      </c>
      <c r="E84" s="38" t="str">
        <f>VLOOKUP(DatabaseKalbar[[#This Row],[External Factor]],[2]!Table1[#Data],2,FALSE)</f>
        <v>Petani;Petani/Nelayan;Pegawai Swasta-Pertanian;Wiraswasta-Pertanian</v>
      </c>
    </row>
    <row r="85" spans="1:5" x14ac:dyDescent="0.35">
      <c r="A85" s="2">
        <v>45925</v>
      </c>
      <c r="B85" t="s">
        <v>31</v>
      </c>
      <c r="C85" t="s">
        <v>75</v>
      </c>
      <c r="D85" s="1">
        <v>2.7099999999999999E-2</v>
      </c>
      <c r="E85" s="38" t="str">
        <f>VLOOKUP(DatabaseKalbar[[#This Row],[External Factor]],[2]!Table1[#Data],2,FALSE)</f>
        <v>Pegawai Swasta-Konstruksi;Wiraswasta-Konstruksi</v>
      </c>
    </row>
    <row r="86" spans="1:5" x14ac:dyDescent="0.35">
      <c r="A86" s="2">
        <v>45925</v>
      </c>
      <c r="B86" t="s">
        <v>31</v>
      </c>
      <c r="C86" t="s">
        <v>13</v>
      </c>
      <c r="D86" s="1">
        <v>2.2700000000000001E-2</v>
      </c>
      <c r="E86" s="38" t="str">
        <f>VLOOKUP(DatabaseKalbar[[#This Row],[External Factor]],[2]!Table1[#Data],2,FALSE)</f>
        <v>Pegawai Swasta-Perdagangan;Wiraswasta/Pedagang;Wiraswasta-Perdagangan</v>
      </c>
    </row>
    <row r="87" spans="1:5" x14ac:dyDescent="0.35">
      <c r="A87" s="2">
        <v>45925</v>
      </c>
      <c r="B87" t="s">
        <v>31</v>
      </c>
      <c r="C87" t="s">
        <v>14</v>
      </c>
      <c r="D87" s="1">
        <v>1.3100000000000001E-2</v>
      </c>
      <c r="E87" s="38" t="str">
        <f>VLOOKUP(DatabaseKalbar[[#This Row],[External Factor]],[2]!Table1[#Data],2,FALSE)</f>
        <v>Pegawai Swasta-Perdagangan;Wiraswasta/Pedagang;Wiraswasta-Perdagangan</v>
      </c>
    </row>
    <row r="88" spans="1:5" x14ac:dyDescent="0.35">
      <c r="A88" s="2">
        <v>45925</v>
      </c>
      <c r="B88" t="s">
        <v>31</v>
      </c>
      <c r="C88" t="s">
        <v>71</v>
      </c>
      <c r="D88" s="1">
        <v>1.18E-2</v>
      </c>
      <c r="E88" s="38" t="str">
        <f>VLOOKUP(DatabaseKalbar[[#This Row],[External Factor]],[2]!Table1[#Data],2,FALSE)</f>
        <v>Ojek; Pegawai Swasta</v>
      </c>
    </row>
    <row r="89" spans="1:5" x14ac:dyDescent="0.35">
      <c r="A89" s="2">
        <v>45925</v>
      </c>
      <c r="B89" t="s">
        <v>31</v>
      </c>
      <c r="C89" t="s">
        <v>69</v>
      </c>
      <c r="D89" s="1">
        <v>1.09E-2</v>
      </c>
      <c r="E89" s="38" t="str">
        <f>VLOOKUP(DatabaseKalbar[[#This Row],[External Factor]],[2]!Table1[#Data],2,FALSE)</f>
        <v>Pegawai Swasta;Pegawai Swasta-Industri;Wiraswasta-Industri</v>
      </c>
    </row>
    <row r="90" spans="1:5" x14ac:dyDescent="0.35">
      <c r="A90" s="2">
        <v>45925</v>
      </c>
      <c r="B90" t="s">
        <v>31</v>
      </c>
      <c r="C90" t="s">
        <v>68</v>
      </c>
      <c r="D90" s="1">
        <v>1.0800000000000001E-2</v>
      </c>
      <c r="E90" s="38" t="str">
        <f>VLOOKUP(DatabaseKalbar[[#This Row],[External Factor]],[2]!Table1[#Data],2,FALSE)</f>
        <v>Ojek; Pegawai Swasta</v>
      </c>
    </row>
    <row r="91" spans="1:5" x14ac:dyDescent="0.35">
      <c r="A91" s="2">
        <v>45925</v>
      </c>
      <c r="B91" t="s">
        <v>31</v>
      </c>
      <c r="C91" t="s">
        <v>70</v>
      </c>
      <c r="D91" s="1">
        <v>9.1000000000000004E-3</v>
      </c>
      <c r="E91" s="38">
        <f>VLOOKUP(DatabaseKalbar[[#This Row],[External Factor]],[2]!Table1[#Data],2,FALSE)</f>
        <v>0</v>
      </c>
    </row>
    <row r="92" spans="1:5" x14ac:dyDescent="0.35">
      <c r="A92" s="2">
        <v>45925</v>
      </c>
      <c r="B92" t="s">
        <v>33</v>
      </c>
      <c r="C92" t="s">
        <v>3</v>
      </c>
      <c r="D92" s="1">
        <v>0.1019</v>
      </c>
      <c r="E92" s="38" t="str">
        <f>VLOOKUP(DatabaseKalbar[[#This Row],[External Factor]],[2]!Table1[#Data],2,FALSE)</f>
        <v>Petani;Petani/Nelayan;Pegawai Swasta-Pertanian;Wiraswasta-Pertanian;Nelayan</v>
      </c>
    </row>
    <row r="93" spans="1:5" x14ac:dyDescent="0.35">
      <c r="A93" s="2">
        <v>45925</v>
      </c>
      <c r="B93" t="s">
        <v>33</v>
      </c>
      <c r="C93" t="s">
        <v>4</v>
      </c>
      <c r="D93" s="1">
        <v>8.09E-2</v>
      </c>
      <c r="E93" s="38" t="str">
        <f>VLOOKUP(DatabaseKalbar[[#This Row],[External Factor]],[2]!Table1[#Data],2,FALSE)</f>
        <v>Petani;Petani/Nelayan;Pegawai Swasta-Pertanian;Wiraswasta-Pertanian</v>
      </c>
    </row>
    <row r="94" spans="1:5" x14ac:dyDescent="0.35">
      <c r="A94" s="2">
        <v>45925</v>
      </c>
      <c r="B94" t="s">
        <v>33</v>
      </c>
      <c r="C94" t="s">
        <v>65</v>
      </c>
      <c r="D94" s="1">
        <v>6.5199999999999994E-2</v>
      </c>
      <c r="E94" s="38" t="str">
        <f>VLOOKUP(DatabaseKalbar[[#This Row],[External Factor]],[2]!Table1[#Data],2,FALSE)</f>
        <v>Pegawai Swasta-Perdagangan;Wiraswasta/Pedagang;Wiraswasta-Perdagangan</v>
      </c>
    </row>
    <row r="95" spans="1:5" x14ac:dyDescent="0.35">
      <c r="A95" s="2">
        <v>45925</v>
      </c>
      <c r="B95" t="s">
        <v>33</v>
      </c>
      <c r="C95" t="s">
        <v>67</v>
      </c>
      <c r="D95" s="1">
        <v>5.3699999999999998E-2</v>
      </c>
      <c r="E95" s="38" t="str">
        <f>VLOOKUP(DatabaseKalbar[[#This Row],[External Factor]],[2]!Table1[#Data],2,FALSE)</f>
        <v>Petani;Petani/Nelayan;Pegawai Swasta-Pertanian;Wiraswasta-Pertanian</v>
      </c>
    </row>
    <row r="96" spans="1:5" x14ac:dyDescent="0.35">
      <c r="A96" s="2">
        <v>45925</v>
      </c>
      <c r="B96" t="s">
        <v>33</v>
      </c>
      <c r="C96" t="s">
        <v>66</v>
      </c>
      <c r="D96" s="1">
        <v>4.5600000000000002E-2</v>
      </c>
      <c r="E96" s="38" t="str">
        <f>VLOOKUP(DatabaseKalbar[[#This Row],[External Factor]],[2]!Table1[#Data],2,FALSE)</f>
        <v>Petani;Petani/Nelayan;Pegawai Swasta-Pertanian;Wiraswasta-Pertanian</v>
      </c>
    </row>
    <row r="97" spans="1:5" x14ac:dyDescent="0.35">
      <c r="A97" s="2">
        <v>45925</v>
      </c>
      <c r="B97" t="s">
        <v>33</v>
      </c>
      <c r="C97" t="s">
        <v>71</v>
      </c>
      <c r="D97" s="1">
        <v>1.89E-2</v>
      </c>
      <c r="E97" s="38" t="str">
        <f>VLOOKUP(DatabaseKalbar[[#This Row],[External Factor]],[2]!Table1[#Data],2,FALSE)</f>
        <v>Ojek; Pegawai Swasta</v>
      </c>
    </row>
    <row r="98" spans="1:5" x14ac:dyDescent="0.35">
      <c r="A98" s="2">
        <v>45925</v>
      </c>
      <c r="B98" t="s">
        <v>33</v>
      </c>
      <c r="C98" t="s">
        <v>69</v>
      </c>
      <c r="D98" s="1">
        <v>1.6500000000000001E-2</v>
      </c>
      <c r="E98" s="38" t="str">
        <f>VLOOKUP(DatabaseKalbar[[#This Row],[External Factor]],[2]!Table1[#Data],2,FALSE)</f>
        <v>Pegawai Swasta;Pegawai Swasta-Industri;Wiraswasta-Industri</v>
      </c>
    </row>
    <row r="99" spans="1:5" x14ac:dyDescent="0.35">
      <c r="A99" s="2">
        <v>45925</v>
      </c>
      <c r="B99" t="s">
        <v>33</v>
      </c>
      <c r="C99" t="s">
        <v>70</v>
      </c>
      <c r="D99" s="1">
        <v>1.29E-2</v>
      </c>
      <c r="E99" s="38">
        <f>VLOOKUP(DatabaseKalbar[[#This Row],[External Factor]],[2]!Table1[#Data],2,FALSE)</f>
        <v>0</v>
      </c>
    </row>
    <row r="100" spans="1:5" x14ac:dyDescent="0.35">
      <c r="A100" s="2">
        <v>45925</v>
      </c>
      <c r="B100" t="s">
        <v>33</v>
      </c>
      <c r="C100" t="s">
        <v>74</v>
      </c>
      <c r="D100" s="1">
        <v>1.2E-2</v>
      </c>
      <c r="E100" s="38" t="str">
        <f>VLOOKUP(DatabaseKalbar[[#This Row],[External Factor]],[2]!Table1[#Data],2,FALSE)</f>
        <v>Pegawai Swasta;Pegawai Swasta-Industri;Wiraswasta-Industri</v>
      </c>
    </row>
    <row r="101" spans="1:5" x14ac:dyDescent="0.35">
      <c r="A101" s="2">
        <v>45925</v>
      </c>
      <c r="B101" t="s">
        <v>33</v>
      </c>
      <c r="C101" t="s">
        <v>72</v>
      </c>
      <c r="D101" s="1">
        <v>1.0500000000000001E-2</v>
      </c>
      <c r="E101" s="38" t="str">
        <f>VLOOKUP(DatabaseKalbar[[#This Row],[External Factor]],[2]!Table1[#Data],2,FALSE)</f>
        <v>Pegawai Swasta-Konstruksi;Wiraswasta-Konstruksi</v>
      </c>
    </row>
    <row r="102" spans="1:5" x14ac:dyDescent="0.35">
      <c r="A102" s="2">
        <v>45925</v>
      </c>
      <c r="B102" t="s">
        <v>35</v>
      </c>
      <c r="C102" t="s">
        <v>3</v>
      </c>
      <c r="D102" s="1">
        <v>0.1019</v>
      </c>
      <c r="E102" s="38" t="str">
        <f>VLOOKUP(DatabaseKalbar[[#This Row],[External Factor]],[2]!Table1[#Data],2,FALSE)</f>
        <v>Petani;Petani/Nelayan;Pegawai Swasta-Pertanian;Wiraswasta-Pertanian;Nelayan</v>
      </c>
    </row>
    <row r="103" spans="1:5" x14ac:dyDescent="0.35">
      <c r="A103" s="2">
        <v>45925</v>
      </c>
      <c r="B103" t="s">
        <v>35</v>
      </c>
      <c r="C103" t="s">
        <v>4</v>
      </c>
      <c r="D103" s="1">
        <v>8.09E-2</v>
      </c>
      <c r="E103" s="38" t="str">
        <f>VLOOKUP(DatabaseKalbar[[#This Row],[External Factor]],[2]!Table1[#Data],2,FALSE)</f>
        <v>Petani;Petani/Nelayan;Pegawai Swasta-Pertanian;Wiraswasta-Pertanian</v>
      </c>
    </row>
    <row r="104" spans="1:5" x14ac:dyDescent="0.35">
      <c r="A104" s="2">
        <v>45925</v>
      </c>
      <c r="B104" t="s">
        <v>35</v>
      </c>
      <c r="C104" t="s">
        <v>65</v>
      </c>
      <c r="D104" s="1">
        <v>6.5199999999999994E-2</v>
      </c>
      <c r="E104" s="38" t="str">
        <f>VLOOKUP(DatabaseKalbar[[#This Row],[External Factor]],[2]!Table1[#Data],2,FALSE)</f>
        <v>Pegawai Swasta-Perdagangan;Wiraswasta/Pedagang;Wiraswasta-Perdagangan</v>
      </c>
    </row>
    <row r="105" spans="1:5" x14ac:dyDescent="0.35">
      <c r="A105" s="2">
        <v>45925</v>
      </c>
      <c r="B105" t="s">
        <v>35</v>
      </c>
      <c r="C105" t="s">
        <v>67</v>
      </c>
      <c r="D105" s="1">
        <v>5.3699999999999998E-2</v>
      </c>
      <c r="E105" s="38" t="str">
        <f>VLOOKUP(DatabaseKalbar[[#This Row],[External Factor]],[2]!Table1[#Data],2,FALSE)</f>
        <v>Petani;Petani/Nelayan;Pegawai Swasta-Pertanian;Wiraswasta-Pertanian</v>
      </c>
    </row>
    <row r="106" spans="1:5" x14ac:dyDescent="0.35">
      <c r="A106" s="2">
        <v>45925</v>
      </c>
      <c r="B106" t="s">
        <v>35</v>
      </c>
      <c r="C106" t="s">
        <v>66</v>
      </c>
      <c r="D106" s="1">
        <v>4.5600000000000002E-2</v>
      </c>
      <c r="E106" s="38" t="str">
        <f>VLOOKUP(DatabaseKalbar[[#This Row],[External Factor]],[2]!Table1[#Data],2,FALSE)</f>
        <v>Petani;Petani/Nelayan;Pegawai Swasta-Pertanian;Wiraswasta-Pertanian</v>
      </c>
    </row>
    <row r="107" spans="1:5" x14ac:dyDescent="0.35">
      <c r="A107" s="2">
        <v>45925</v>
      </c>
      <c r="B107" t="s">
        <v>35</v>
      </c>
      <c r="C107" t="s">
        <v>71</v>
      </c>
      <c r="D107" s="1">
        <v>1.89E-2</v>
      </c>
      <c r="E107" s="38" t="str">
        <f>VLOOKUP(DatabaseKalbar[[#This Row],[External Factor]],[2]!Table1[#Data],2,FALSE)</f>
        <v>Ojek; Pegawai Swasta</v>
      </c>
    </row>
    <row r="108" spans="1:5" x14ac:dyDescent="0.35">
      <c r="A108" s="2">
        <v>45925</v>
      </c>
      <c r="B108" t="s">
        <v>35</v>
      </c>
      <c r="C108" t="s">
        <v>69</v>
      </c>
      <c r="D108" s="1">
        <v>1.6500000000000001E-2</v>
      </c>
      <c r="E108" s="38" t="str">
        <f>VLOOKUP(DatabaseKalbar[[#This Row],[External Factor]],[2]!Table1[#Data],2,FALSE)</f>
        <v>Pegawai Swasta;Pegawai Swasta-Industri;Wiraswasta-Industri</v>
      </c>
    </row>
    <row r="109" spans="1:5" x14ac:dyDescent="0.35">
      <c r="A109" s="2">
        <v>45925</v>
      </c>
      <c r="B109" t="s">
        <v>35</v>
      </c>
      <c r="C109" t="s">
        <v>70</v>
      </c>
      <c r="D109" s="1">
        <v>1.29E-2</v>
      </c>
      <c r="E109" s="38">
        <f>VLOOKUP(DatabaseKalbar[[#This Row],[External Factor]],[2]!Table1[#Data],2,FALSE)</f>
        <v>0</v>
      </c>
    </row>
    <row r="110" spans="1:5" x14ac:dyDescent="0.35">
      <c r="A110" s="2">
        <v>45925</v>
      </c>
      <c r="B110" t="s">
        <v>35</v>
      </c>
      <c r="C110" t="s">
        <v>74</v>
      </c>
      <c r="D110" s="1">
        <v>1.2E-2</v>
      </c>
      <c r="E110" s="38" t="str">
        <f>VLOOKUP(DatabaseKalbar[[#This Row],[External Factor]],[2]!Table1[#Data],2,FALSE)</f>
        <v>Pegawai Swasta;Pegawai Swasta-Industri;Wiraswasta-Industri</v>
      </c>
    </row>
    <row r="111" spans="1:5" x14ac:dyDescent="0.35">
      <c r="A111" s="2">
        <v>45925</v>
      </c>
      <c r="B111" t="s">
        <v>35</v>
      </c>
      <c r="C111" t="s">
        <v>72</v>
      </c>
      <c r="D111" s="1">
        <v>1.0500000000000001E-2</v>
      </c>
      <c r="E111" s="38" t="str">
        <f>VLOOKUP(DatabaseKalbar[[#This Row],[External Factor]],[2]!Table1[#Data],2,FALSE)</f>
        <v>Pegawai Swasta-Konstruksi;Wiraswasta-Konstruksi</v>
      </c>
    </row>
    <row r="112" spans="1:5" x14ac:dyDescent="0.35">
      <c r="A112" s="2">
        <v>45925</v>
      </c>
      <c r="B112" t="s">
        <v>36</v>
      </c>
      <c r="C112" t="s">
        <v>4</v>
      </c>
      <c r="D112" s="1">
        <v>0.15909999999999999</v>
      </c>
      <c r="E112" s="38" t="str">
        <f>VLOOKUP(DatabaseKalbar[[#This Row],[External Factor]],[2]!Table1[#Data],2,FALSE)</f>
        <v>Petani;Petani/Nelayan;Pegawai Swasta-Pertanian;Wiraswasta-Pertanian</v>
      </c>
    </row>
    <row r="113" spans="1:5" x14ac:dyDescent="0.35">
      <c r="A113" s="2">
        <v>45925</v>
      </c>
      <c r="B113" t="s">
        <v>36</v>
      </c>
      <c r="C113" t="s">
        <v>3</v>
      </c>
      <c r="D113" s="1">
        <v>0.1191</v>
      </c>
      <c r="E113" s="38" t="str">
        <f>VLOOKUP(DatabaseKalbar[[#This Row],[External Factor]],[2]!Table1[#Data],2,FALSE)</f>
        <v>Petani;Petani/Nelayan;Pegawai Swasta-Pertanian;Wiraswasta-Pertanian;Nelayan</v>
      </c>
    </row>
    <row r="114" spans="1:5" x14ac:dyDescent="0.35">
      <c r="A114" s="2">
        <v>45925</v>
      </c>
      <c r="B114" t="s">
        <v>36</v>
      </c>
      <c r="C114" t="s">
        <v>65</v>
      </c>
      <c r="D114" s="1">
        <v>0.1191</v>
      </c>
      <c r="E114" s="38" t="str">
        <f>VLOOKUP(DatabaseKalbar[[#This Row],[External Factor]],[2]!Table1[#Data],2,FALSE)</f>
        <v>Pegawai Swasta-Perdagangan;Wiraswasta/Pedagang;Wiraswasta-Perdagangan</v>
      </c>
    </row>
    <row r="115" spans="1:5" x14ac:dyDescent="0.35">
      <c r="A115" s="2">
        <v>45925</v>
      </c>
      <c r="B115" t="s">
        <v>36</v>
      </c>
      <c r="C115" t="s">
        <v>71</v>
      </c>
      <c r="D115" s="1">
        <v>5.3400000000000003E-2</v>
      </c>
      <c r="E115" s="38" t="str">
        <f>VLOOKUP(DatabaseKalbar[[#This Row],[External Factor]],[2]!Table1[#Data],2,FALSE)</f>
        <v>Ojek; Pegawai Swasta</v>
      </c>
    </row>
    <row r="116" spans="1:5" x14ac:dyDescent="0.35">
      <c r="A116" s="2">
        <v>45925</v>
      </c>
      <c r="B116" t="s">
        <v>36</v>
      </c>
      <c r="C116" t="s">
        <v>68</v>
      </c>
      <c r="D116" s="1">
        <v>3.9E-2</v>
      </c>
      <c r="E116" s="38" t="str">
        <f>VLOOKUP(DatabaseKalbar[[#This Row],[External Factor]],[2]!Table1[#Data],2,FALSE)</f>
        <v>Ojek; Pegawai Swasta</v>
      </c>
    </row>
    <row r="117" spans="1:5" x14ac:dyDescent="0.35">
      <c r="A117" s="2">
        <v>45925</v>
      </c>
      <c r="B117" t="s">
        <v>36</v>
      </c>
      <c r="C117" t="s">
        <v>69</v>
      </c>
      <c r="D117" s="1">
        <v>3.39E-2</v>
      </c>
      <c r="E117" s="38" t="str">
        <f>VLOOKUP(DatabaseKalbar[[#This Row],[External Factor]],[2]!Table1[#Data],2,FALSE)</f>
        <v>Pegawai Swasta;Pegawai Swasta-Industri;Wiraswasta-Industri</v>
      </c>
    </row>
    <row r="118" spans="1:5" x14ac:dyDescent="0.35">
      <c r="A118" s="2">
        <v>45925</v>
      </c>
      <c r="B118" t="s">
        <v>36</v>
      </c>
      <c r="C118" t="s">
        <v>14</v>
      </c>
      <c r="D118" s="1">
        <v>2.98E-2</v>
      </c>
      <c r="E118" s="38" t="str">
        <f>VLOOKUP(DatabaseKalbar[[#This Row],[External Factor]],[2]!Table1[#Data],2,FALSE)</f>
        <v>Pegawai Swasta-Perdagangan;Wiraswasta/Pedagang;Wiraswasta-Perdagangan</v>
      </c>
    </row>
    <row r="119" spans="1:5" x14ac:dyDescent="0.35">
      <c r="A119" s="2">
        <v>45925</v>
      </c>
      <c r="B119" t="s">
        <v>36</v>
      </c>
      <c r="C119" t="s">
        <v>13</v>
      </c>
      <c r="D119" s="1">
        <v>2.7699999999999999E-2</v>
      </c>
      <c r="E119" s="38" t="str">
        <f>VLOOKUP(DatabaseKalbar[[#This Row],[External Factor]],[2]!Table1[#Data],2,FALSE)</f>
        <v>Pegawai Swasta-Perdagangan;Wiraswasta/Pedagang;Wiraswasta-Perdagangan</v>
      </c>
    </row>
    <row r="120" spans="1:5" x14ac:dyDescent="0.35">
      <c r="A120" s="2">
        <v>45925</v>
      </c>
      <c r="B120" t="s">
        <v>36</v>
      </c>
      <c r="C120" t="s">
        <v>74</v>
      </c>
      <c r="D120" s="1">
        <v>2.7699999999999999E-2</v>
      </c>
      <c r="E120" s="38" t="str">
        <f>VLOOKUP(DatabaseKalbar[[#This Row],[External Factor]],[2]!Table1[#Data],2,FALSE)</f>
        <v>Pegawai Swasta;Pegawai Swasta-Industri;Wiraswasta-Industri</v>
      </c>
    </row>
    <row r="121" spans="1:5" x14ac:dyDescent="0.35">
      <c r="A121" s="2">
        <v>45925</v>
      </c>
      <c r="B121" t="s">
        <v>36</v>
      </c>
      <c r="C121" t="s">
        <v>67</v>
      </c>
      <c r="D121" s="1">
        <v>2.5700000000000001E-2</v>
      </c>
      <c r="E121" s="38" t="str">
        <f>VLOOKUP(DatabaseKalbar[[#This Row],[External Factor]],[2]!Table1[#Data],2,FALSE)</f>
        <v>Petani;Petani/Nelayan;Pegawai Swasta-Pertanian;Wiraswasta-Pertanian</v>
      </c>
    </row>
    <row r="122" spans="1:5" x14ac:dyDescent="0.35">
      <c r="A122" s="2">
        <v>45925</v>
      </c>
      <c r="B122" t="s">
        <v>38</v>
      </c>
      <c r="C122" t="s">
        <v>3</v>
      </c>
      <c r="D122" s="1">
        <v>0.1019</v>
      </c>
      <c r="E122" s="38" t="str">
        <f>VLOOKUP(DatabaseKalbar[[#This Row],[External Factor]],[2]!Table1[#Data],2,FALSE)</f>
        <v>Petani;Petani/Nelayan;Pegawai Swasta-Pertanian;Wiraswasta-Pertanian;Nelayan</v>
      </c>
    </row>
    <row r="123" spans="1:5" x14ac:dyDescent="0.35">
      <c r="A123" s="2">
        <v>45925</v>
      </c>
      <c r="B123" t="s">
        <v>38</v>
      </c>
      <c r="C123" t="s">
        <v>4</v>
      </c>
      <c r="D123" s="1">
        <v>8.09E-2</v>
      </c>
      <c r="E123" s="38" t="str">
        <f>VLOOKUP(DatabaseKalbar[[#This Row],[External Factor]],[2]!Table1[#Data],2,FALSE)</f>
        <v>Petani;Petani/Nelayan;Pegawai Swasta-Pertanian;Wiraswasta-Pertanian</v>
      </c>
    </row>
    <row r="124" spans="1:5" x14ac:dyDescent="0.35">
      <c r="A124" s="2">
        <v>45925</v>
      </c>
      <c r="B124" t="s">
        <v>38</v>
      </c>
      <c r="C124" t="s">
        <v>65</v>
      </c>
      <c r="D124" s="1">
        <v>6.5199999999999994E-2</v>
      </c>
      <c r="E124" s="38" t="str">
        <f>VLOOKUP(DatabaseKalbar[[#This Row],[External Factor]],[2]!Table1[#Data],2,FALSE)</f>
        <v>Pegawai Swasta-Perdagangan;Wiraswasta/Pedagang;Wiraswasta-Perdagangan</v>
      </c>
    </row>
    <row r="125" spans="1:5" x14ac:dyDescent="0.35">
      <c r="A125" s="2">
        <v>45925</v>
      </c>
      <c r="B125" t="s">
        <v>38</v>
      </c>
      <c r="C125" t="s">
        <v>67</v>
      </c>
      <c r="D125" s="1">
        <v>5.3699999999999998E-2</v>
      </c>
      <c r="E125" s="38" t="str">
        <f>VLOOKUP(DatabaseKalbar[[#This Row],[External Factor]],[2]!Table1[#Data],2,FALSE)</f>
        <v>Petani;Petani/Nelayan;Pegawai Swasta-Pertanian;Wiraswasta-Pertanian</v>
      </c>
    </row>
    <row r="126" spans="1:5" x14ac:dyDescent="0.35">
      <c r="A126" s="2">
        <v>45925</v>
      </c>
      <c r="B126" t="s">
        <v>38</v>
      </c>
      <c r="C126" t="s">
        <v>66</v>
      </c>
      <c r="D126" s="1">
        <v>4.5600000000000002E-2</v>
      </c>
      <c r="E126" s="38" t="str">
        <f>VLOOKUP(DatabaseKalbar[[#This Row],[External Factor]],[2]!Table1[#Data],2,FALSE)</f>
        <v>Petani;Petani/Nelayan;Pegawai Swasta-Pertanian;Wiraswasta-Pertanian</v>
      </c>
    </row>
    <row r="127" spans="1:5" x14ac:dyDescent="0.35">
      <c r="A127" s="2">
        <v>45925</v>
      </c>
      <c r="B127" t="s">
        <v>38</v>
      </c>
      <c r="C127" t="s">
        <v>71</v>
      </c>
      <c r="D127" s="1">
        <v>1.89E-2</v>
      </c>
      <c r="E127" s="38" t="str">
        <f>VLOOKUP(DatabaseKalbar[[#This Row],[External Factor]],[2]!Table1[#Data],2,FALSE)</f>
        <v>Ojek; Pegawai Swasta</v>
      </c>
    </row>
    <row r="128" spans="1:5" x14ac:dyDescent="0.35">
      <c r="A128" s="2">
        <v>45925</v>
      </c>
      <c r="B128" t="s">
        <v>38</v>
      </c>
      <c r="C128" t="s">
        <v>69</v>
      </c>
      <c r="D128" s="1">
        <v>1.6500000000000001E-2</v>
      </c>
      <c r="E128" s="38" t="str">
        <f>VLOOKUP(DatabaseKalbar[[#This Row],[External Factor]],[2]!Table1[#Data],2,FALSE)</f>
        <v>Pegawai Swasta;Pegawai Swasta-Industri;Wiraswasta-Industri</v>
      </c>
    </row>
    <row r="129" spans="1:5" x14ac:dyDescent="0.35">
      <c r="A129" s="2">
        <v>45925</v>
      </c>
      <c r="B129" t="s">
        <v>38</v>
      </c>
      <c r="C129" t="s">
        <v>70</v>
      </c>
      <c r="D129" s="1">
        <v>1.29E-2</v>
      </c>
      <c r="E129" s="38">
        <f>VLOOKUP(DatabaseKalbar[[#This Row],[External Factor]],[2]!Table1[#Data],2,FALSE)</f>
        <v>0</v>
      </c>
    </row>
    <row r="130" spans="1:5" x14ac:dyDescent="0.35">
      <c r="A130" s="2">
        <v>45925</v>
      </c>
      <c r="B130" t="s">
        <v>38</v>
      </c>
      <c r="C130" t="s">
        <v>74</v>
      </c>
      <c r="D130" s="1">
        <v>1.2E-2</v>
      </c>
      <c r="E130" s="38" t="str">
        <f>VLOOKUP(DatabaseKalbar[[#This Row],[External Factor]],[2]!Table1[#Data],2,FALSE)</f>
        <v>Pegawai Swasta;Pegawai Swasta-Industri;Wiraswasta-Industri</v>
      </c>
    </row>
    <row r="131" spans="1:5" x14ac:dyDescent="0.35">
      <c r="A131" s="2">
        <v>45925</v>
      </c>
      <c r="B131" t="s">
        <v>38</v>
      </c>
      <c r="C131" t="s">
        <v>72</v>
      </c>
      <c r="D131" s="1">
        <v>1.0500000000000001E-2</v>
      </c>
      <c r="E131" s="38" t="str">
        <f>VLOOKUP(DatabaseKalbar[[#This Row],[External Factor]],[2]!Table1[#Data],2,FALSE)</f>
        <v>Pegawai Swasta-Konstruksi;Wiraswasta-Konstruksi</v>
      </c>
    </row>
    <row r="132" spans="1:5" x14ac:dyDescent="0.35">
      <c r="A132" s="2">
        <v>45925</v>
      </c>
      <c r="B132" t="s">
        <v>39</v>
      </c>
      <c r="C132" t="s">
        <v>66</v>
      </c>
      <c r="D132" s="1">
        <v>0.15179999999999999</v>
      </c>
      <c r="E132" s="38" t="str">
        <f>VLOOKUP(DatabaseKalbar[[#This Row],[External Factor]],[2]!Table1[#Data],2,FALSE)</f>
        <v>Petani;Petani/Nelayan;Pegawai Swasta-Pertanian;Wiraswasta-Pertanian</v>
      </c>
    </row>
    <row r="133" spans="1:5" x14ac:dyDescent="0.35">
      <c r="A133" s="2">
        <v>45925</v>
      </c>
      <c r="B133" t="s">
        <v>39</v>
      </c>
      <c r="C133" t="s">
        <v>3</v>
      </c>
      <c r="D133" s="1">
        <v>7.9899999999999999E-2</v>
      </c>
      <c r="E133" s="38" t="str">
        <f>VLOOKUP(DatabaseKalbar[[#This Row],[External Factor]],[2]!Table1[#Data],2,FALSE)</f>
        <v>Petani;Petani/Nelayan;Pegawai Swasta-Pertanian;Wiraswasta-Pertanian;Nelayan</v>
      </c>
    </row>
    <row r="134" spans="1:5" x14ac:dyDescent="0.35">
      <c r="A134" s="2">
        <v>45925</v>
      </c>
      <c r="B134" t="s">
        <v>39</v>
      </c>
      <c r="C134" t="s">
        <v>4</v>
      </c>
      <c r="D134" s="1">
        <v>6.83E-2</v>
      </c>
      <c r="E134" s="38" t="str">
        <f>VLOOKUP(DatabaseKalbar[[#This Row],[External Factor]],[2]!Table1[#Data],2,FALSE)</f>
        <v>Petani;Petani/Nelayan;Pegawai Swasta-Pertanian;Wiraswasta-Pertanian</v>
      </c>
    </row>
    <row r="135" spans="1:5" x14ac:dyDescent="0.35">
      <c r="A135" s="2">
        <v>45925</v>
      </c>
      <c r="B135" t="s">
        <v>39</v>
      </c>
      <c r="C135" t="s">
        <v>65</v>
      </c>
      <c r="D135" s="1">
        <v>6.6100000000000006E-2</v>
      </c>
      <c r="E135" s="38" t="str">
        <f>VLOOKUP(DatabaseKalbar[[#This Row],[External Factor]],[2]!Table1[#Data],2,FALSE)</f>
        <v>Pegawai Swasta-Perdagangan;Wiraswasta/Pedagang;Wiraswasta-Perdagangan</v>
      </c>
    </row>
    <row r="136" spans="1:5" x14ac:dyDescent="0.35">
      <c r="A136" s="2">
        <v>45925</v>
      </c>
      <c r="B136" t="s">
        <v>39</v>
      </c>
      <c r="C136" t="s">
        <v>67</v>
      </c>
      <c r="D136" s="1">
        <v>3.9E-2</v>
      </c>
      <c r="E136" s="38" t="str">
        <f>VLOOKUP(DatabaseKalbar[[#This Row],[External Factor]],[2]!Table1[#Data],2,FALSE)</f>
        <v>Petani;Petani/Nelayan;Pegawai Swasta-Pertanian;Wiraswasta-Pertanian</v>
      </c>
    </row>
    <row r="137" spans="1:5" x14ac:dyDescent="0.35">
      <c r="A137" s="2">
        <v>45925</v>
      </c>
      <c r="B137" t="s">
        <v>39</v>
      </c>
      <c r="C137" t="s">
        <v>71</v>
      </c>
      <c r="D137" s="1">
        <v>1.66E-2</v>
      </c>
      <c r="E137" s="38" t="str">
        <f>VLOOKUP(DatabaseKalbar[[#This Row],[External Factor]],[2]!Table1[#Data],2,FALSE)</f>
        <v>Ojek; Pegawai Swasta</v>
      </c>
    </row>
    <row r="138" spans="1:5" x14ac:dyDescent="0.35">
      <c r="A138" s="2">
        <v>45925</v>
      </c>
      <c r="B138" t="s">
        <v>39</v>
      </c>
      <c r="C138" t="s">
        <v>70</v>
      </c>
      <c r="D138" s="1">
        <v>1.52E-2</v>
      </c>
      <c r="E138" s="38">
        <f>VLOOKUP(DatabaseKalbar[[#This Row],[External Factor]],[2]!Table1[#Data],2,FALSE)</f>
        <v>0</v>
      </c>
    </row>
    <row r="139" spans="1:5" x14ac:dyDescent="0.35">
      <c r="A139" s="2">
        <v>45925</v>
      </c>
      <c r="B139" t="s">
        <v>39</v>
      </c>
      <c r="C139" t="s">
        <v>69</v>
      </c>
      <c r="D139" s="1">
        <v>1.52E-2</v>
      </c>
      <c r="E139" s="38" t="str">
        <f>VLOOKUP(DatabaseKalbar[[#This Row],[External Factor]],[2]!Table1[#Data],2,FALSE)</f>
        <v>Pegawai Swasta;Pegawai Swasta-Industri;Wiraswasta-Industri</v>
      </c>
    </row>
    <row r="140" spans="1:5" x14ac:dyDescent="0.35">
      <c r="A140" s="2">
        <v>45925</v>
      </c>
      <c r="B140" t="s">
        <v>39</v>
      </c>
      <c r="C140" t="s">
        <v>68</v>
      </c>
      <c r="D140" s="1">
        <v>1.2200000000000001E-2</v>
      </c>
      <c r="E140" s="38" t="str">
        <f>VLOOKUP(DatabaseKalbar[[#This Row],[External Factor]],[2]!Table1[#Data],2,FALSE)</f>
        <v>Ojek; Pegawai Swasta</v>
      </c>
    </row>
    <row r="141" spans="1:5" x14ac:dyDescent="0.35">
      <c r="A141" s="2">
        <v>45925</v>
      </c>
      <c r="B141" t="s">
        <v>39</v>
      </c>
      <c r="C141" t="s">
        <v>14</v>
      </c>
      <c r="D141" s="1">
        <v>1.1299999999999999E-2</v>
      </c>
      <c r="E141" s="38" t="str">
        <f>VLOOKUP(DatabaseKalbar[[#This Row],[External Factor]],[2]!Table1[#Data],2,FALSE)</f>
        <v>Pegawai Swasta-Perdagangan;Wiraswasta/Pedagang;Wiraswasta-Perdagangan</v>
      </c>
    </row>
    <row r="142" spans="1:5" x14ac:dyDescent="0.35">
      <c r="A142" s="2">
        <v>45925</v>
      </c>
      <c r="B142" t="s">
        <v>41</v>
      </c>
      <c r="C142" t="s">
        <v>65</v>
      </c>
      <c r="D142" s="1">
        <v>0.1177</v>
      </c>
      <c r="E142" s="38" t="str">
        <f>VLOOKUP(DatabaseKalbar[[#This Row],[External Factor]],[2]!Table1[#Data],2,FALSE)</f>
        <v>Pegawai Swasta-Perdagangan;Wiraswasta/Pedagang;Wiraswasta-Perdagangan</v>
      </c>
    </row>
    <row r="143" spans="1:5" x14ac:dyDescent="0.35">
      <c r="A143" s="2">
        <v>45925</v>
      </c>
      <c r="B143" t="s">
        <v>41</v>
      </c>
      <c r="C143" t="s">
        <v>4</v>
      </c>
      <c r="D143" s="1">
        <v>9.8299999999999998E-2</v>
      </c>
      <c r="E143" s="38" t="str">
        <f>VLOOKUP(DatabaseKalbar[[#This Row],[External Factor]],[2]!Table1[#Data],2,FALSE)</f>
        <v>Petani;Petani/Nelayan;Pegawai Swasta-Pertanian;Wiraswasta-Pertanian</v>
      </c>
    </row>
    <row r="144" spans="1:5" x14ac:dyDescent="0.35">
      <c r="A144" s="2">
        <v>45925</v>
      </c>
      <c r="B144" t="s">
        <v>41</v>
      </c>
      <c r="C144" t="s">
        <v>3</v>
      </c>
      <c r="D144" s="1">
        <v>9.6299999999999997E-2</v>
      </c>
      <c r="E144" s="38" t="str">
        <f>VLOOKUP(DatabaseKalbar[[#This Row],[External Factor]],[2]!Table1[#Data],2,FALSE)</f>
        <v>Petani;Petani/Nelayan;Pegawai Swasta-Pertanian;Wiraswasta-Pertanian;Nelayan</v>
      </c>
    </row>
    <row r="145" spans="1:5" x14ac:dyDescent="0.35">
      <c r="A145" s="2">
        <v>45925</v>
      </c>
      <c r="B145" t="s">
        <v>41</v>
      </c>
      <c r="C145" t="s">
        <v>71</v>
      </c>
      <c r="D145" s="1">
        <v>6.0299999999999999E-2</v>
      </c>
      <c r="E145" s="38" t="str">
        <f>VLOOKUP(DatabaseKalbar[[#This Row],[External Factor]],[2]!Table1[#Data],2,FALSE)</f>
        <v>Ojek; Pegawai Swasta</v>
      </c>
    </row>
    <row r="146" spans="1:5" x14ac:dyDescent="0.35">
      <c r="A146" s="2">
        <v>45925</v>
      </c>
      <c r="B146" t="s">
        <v>41</v>
      </c>
      <c r="C146" t="s">
        <v>69</v>
      </c>
      <c r="D146" s="1">
        <v>5.8299999999999998E-2</v>
      </c>
      <c r="E146" s="38" t="str">
        <f>VLOOKUP(DatabaseKalbar[[#This Row],[External Factor]],[2]!Table1[#Data],2,FALSE)</f>
        <v>Pegawai Swasta;Pegawai Swasta-Industri;Wiraswasta-Industri</v>
      </c>
    </row>
    <row r="147" spans="1:5" x14ac:dyDescent="0.35">
      <c r="A147" s="2">
        <v>45925</v>
      </c>
      <c r="B147" t="s">
        <v>41</v>
      </c>
      <c r="C147" t="s">
        <v>68</v>
      </c>
      <c r="D147" s="1">
        <v>4.6300000000000001E-2</v>
      </c>
      <c r="E147" s="38" t="str">
        <f>VLOOKUP(DatabaseKalbar[[#This Row],[External Factor]],[2]!Table1[#Data],2,FALSE)</f>
        <v>Ojek; Pegawai Swasta</v>
      </c>
    </row>
    <row r="148" spans="1:5" x14ac:dyDescent="0.35">
      <c r="A148" s="2">
        <v>45925</v>
      </c>
      <c r="B148" t="s">
        <v>41</v>
      </c>
      <c r="C148" t="s">
        <v>70</v>
      </c>
      <c r="D148" s="1">
        <v>4.1700000000000001E-2</v>
      </c>
      <c r="E148" s="38">
        <f>VLOOKUP(DatabaseKalbar[[#This Row],[External Factor]],[2]!Table1[#Data],2,FALSE)</f>
        <v>0</v>
      </c>
    </row>
    <row r="149" spans="1:5" x14ac:dyDescent="0.35">
      <c r="A149" s="2">
        <v>45925</v>
      </c>
      <c r="B149" t="s">
        <v>41</v>
      </c>
      <c r="C149" t="s">
        <v>72</v>
      </c>
      <c r="D149" s="1">
        <v>4.0300000000000002E-2</v>
      </c>
      <c r="E149" s="38" t="str">
        <f>VLOOKUP(DatabaseKalbar[[#This Row],[External Factor]],[2]!Table1[#Data],2,FALSE)</f>
        <v>Pegawai Swasta-Konstruksi;Wiraswasta-Konstruksi</v>
      </c>
    </row>
    <row r="150" spans="1:5" x14ac:dyDescent="0.35">
      <c r="A150" s="2">
        <v>45925</v>
      </c>
      <c r="B150" t="s">
        <v>41</v>
      </c>
      <c r="C150" t="s">
        <v>74</v>
      </c>
      <c r="D150" s="1">
        <v>3.9300000000000002E-2</v>
      </c>
      <c r="E150" s="38" t="str">
        <f>VLOOKUP(DatabaseKalbar[[#This Row],[External Factor]],[2]!Table1[#Data],2,FALSE)</f>
        <v>Pegawai Swasta;Pegawai Swasta-Industri;Wiraswasta-Industri</v>
      </c>
    </row>
    <row r="151" spans="1:5" x14ac:dyDescent="0.35">
      <c r="A151" s="2">
        <v>45925</v>
      </c>
      <c r="B151" t="s">
        <v>41</v>
      </c>
      <c r="C151" t="s">
        <v>13</v>
      </c>
      <c r="D151" s="1">
        <v>3.73E-2</v>
      </c>
      <c r="E151" s="38" t="str">
        <f>VLOOKUP(DatabaseKalbar[[#This Row],[External Factor]],[2]!Table1[#Data],2,FALSE)</f>
        <v>Pegawai Swasta-Perdagangan;Wiraswasta/Pedagang;Wiraswasta-Perdagangan</v>
      </c>
    </row>
    <row r="152" spans="1:5" x14ac:dyDescent="0.35">
      <c r="A152" s="2">
        <v>45925</v>
      </c>
      <c r="B152" t="s">
        <v>43</v>
      </c>
      <c r="C152" t="s">
        <v>68</v>
      </c>
      <c r="D152" s="1">
        <v>0.1075</v>
      </c>
      <c r="E152" s="38" t="str">
        <f>VLOOKUP(DatabaseKalbar[[#This Row],[External Factor]],[2]!Table1[#Data],2,FALSE)</f>
        <v>Ojek; Pegawai Swasta</v>
      </c>
    </row>
    <row r="153" spans="1:5" x14ac:dyDescent="0.35">
      <c r="A153" s="2">
        <v>45925</v>
      </c>
      <c r="B153" t="s">
        <v>43</v>
      </c>
      <c r="C153" t="s">
        <v>67</v>
      </c>
      <c r="D153" s="1">
        <v>9.35E-2</v>
      </c>
      <c r="E153" s="38" t="str">
        <f>VLOOKUP(DatabaseKalbar[[#This Row],[External Factor]],[2]!Table1[#Data],2,FALSE)</f>
        <v>Petani;Petani/Nelayan;Pegawai Swasta-Pertanian;Wiraswasta-Pertanian</v>
      </c>
    </row>
    <row r="154" spans="1:5" x14ac:dyDescent="0.35">
      <c r="A154" s="2">
        <v>45925</v>
      </c>
      <c r="B154" t="s">
        <v>43</v>
      </c>
      <c r="C154" t="s">
        <v>65</v>
      </c>
      <c r="D154" s="1">
        <v>7.0099999999999996E-2</v>
      </c>
      <c r="E154" s="38" t="str">
        <f>VLOOKUP(DatabaseKalbar[[#This Row],[External Factor]],[2]!Table1[#Data],2,FALSE)</f>
        <v>Pegawai Swasta-Perdagangan;Wiraswasta/Pedagang;Wiraswasta-Perdagangan</v>
      </c>
    </row>
    <row r="155" spans="1:5" x14ac:dyDescent="0.35">
      <c r="A155" s="2">
        <v>45925</v>
      </c>
      <c r="B155" t="s">
        <v>43</v>
      </c>
      <c r="C155" t="s">
        <v>3</v>
      </c>
      <c r="D155" s="1">
        <v>6.0699999999999997E-2</v>
      </c>
      <c r="E155" s="38" t="str">
        <f>VLOOKUP(DatabaseKalbar[[#This Row],[External Factor]],[2]!Table1[#Data],2,FALSE)</f>
        <v>Petani;Petani/Nelayan;Pegawai Swasta-Pertanian;Wiraswasta-Pertanian;Nelayan</v>
      </c>
    </row>
    <row r="156" spans="1:5" x14ac:dyDescent="0.35">
      <c r="A156" s="2">
        <v>45925</v>
      </c>
      <c r="B156" t="s">
        <v>43</v>
      </c>
      <c r="C156" t="s">
        <v>13</v>
      </c>
      <c r="D156" s="1">
        <v>6.0699999999999997E-2</v>
      </c>
      <c r="E156" s="38" t="str">
        <f>VLOOKUP(DatabaseKalbar[[#This Row],[External Factor]],[2]!Table1[#Data],2,FALSE)</f>
        <v>Pegawai Swasta-Perdagangan;Wiraswasta/Pedagang;Wiraswasta-Perdagangan</v>
      </c>
    </row>
    <row r="157" spans="1:5" x14ac:dyDescent="0.35">
      <c r="A157" s="2">
        <v>45925</v>
      </c>
      <c r="B157" t="s">
        <v>43</v>
      </c>
      <c r="C157" t="s">
        <v>10</v>
      </c>
      <c r="D157" s="1">
        <v>4.6699999999999998E-2</v>
      </c>
      <c r="E157" s="38" t="str">
        <f>VLOOKUP(DatabaseKalbar[[#This Row],[External Factor]],[2]!Table1[#Data],2,FALSE)</f>
        <v>Pegawai Negeri;TNI/Polri</v>
      </c>
    </row>
    <row r="158" spans="1:5" x14ac:dyDescent="0.35">
      <c r="A158" s="2">
        <v>45925</v>
      </c>
      <c r="B158" t="s">
        <v>43</v>
      </c>
      <c r="C158" t="s">
        <v>11</v>
      </c>
      <c r="D158" s="1">
        <v>4.6699999999999998E-2</v>
      </c>
      <c r="E158" s="38" t="str">
        <f>VLOOKUP(DatabaseKalbar[[#This Row],[External Factor]],[2]!Table1[#Data],2,FALSE)</f>
        <v>Pegawai Negeri;TNI/Polri</v>
      </c>
    </row>
    <row r="159" spans="1:5" x14ac:dyDescent="0.35">
      <c r="A159" s="2">
        <v>45925</v>
      </c>
      <c r="B159" t="s">
        <v>43</v>
      </c>
      <c r="C159" t="s">
        <v>12</v>
      </c>
      <c r="D159" s="1">
        <v>4.2099999999999999E-2</v>
      </c>
      <c r="E159" s="38" t="str">
        <f>VLOOKUP(DatabaseKalbar[[#This Row],[External Factor]],[2]!Table1[#Data],2,FALSE)</f>
        <v>Pegawai Swasta</v>
      </c>
    </row>
    <row r="160" spans="1:5" x14ac:dyDescent="0.35">
      <c r="A160" s="2">
        <v>45925</v>
      </c>
      <c r="B160" t="s">
        <v>43</v>
      </c>
      <c r="C160" t="s">
        <v>70</v>
      </c>
      <c r="D160" s="1">
        <v>3.27E-2</v>
      </c>
      <c r="E160" s="38">
        <f>VLOOKUP(DatabaseKalbar[[#This Row],[External Factor]],[2]!Table1[#Data],2,FALSE)</f>
        <v>0</v>
      </c>
    </row>
    <row r="161" spans="1:5" x14ac:dyDescent="0.35">
      <c r="A161" s="2">
        <v>45925</v>
      </c>
      <c r="B161" t="s">
        <v>43</v>
      </c>
      <c r="C161" t="s">
        <v>4</v>
      </c>
      <c r="D161" s="1">
        <v>1.4E-2</v>
      </c>
      <c r="E161" s="38" t="str">
        <f>VLOOKUP(DatabaseKalbar[[#This Row],[External Factor]],[2]!Table1[#Data],2,FALSE)</f>
        <v>Petani;Petani/Nelayan;Pegawai Swasta-Pertanian;Wiraswasta-Pertanian</v>
      </c>
    </row>
    <row r="162" spans="1:5" x14ac:dyDescent="0.35">
      <c r="A162" s="2">
        <v>45925</v>
      </c>
      <c r="B162" t="s">
        <v>45</v>
      </c>
      <c r="C162" t="s">
        <v>66</v>
      </c>
      <c r="D162" s="1">
        <v>0.15179999999999999</v>
      </c>
      <c r="E162" s="38" t="str">
        <f>VLOOKUP(DatabaseKalbar[[#This Row],[External Factor]],[2]!Table1[#Data],2,FALSE)</f>
        <v>Petani;Petani/Nelayan;Pegawai Swasta-Pertanian;Wiraswasta-Pertanian</v>
      </c>
    </row>
    <row r="163" spans="1:5" x14ac:dyDescent="0.35">
      <c r="A163" s="2">
        <v>45925</v>
      </c>
      <c r="B163" t="s">
        <v>45</v>
      </c>
      <c r="C163" t="s">
        <v>3</v>
      </c>
      <c r="D163" s="1">
        <v>7.9899999999999999E-2</v>
      </c>
      <c r="E163" s="38" t="str">
        <f>VLOOKUP(DatabaseKalbar[[#This Row],[External Factor]],[2]!Table1[#Data],2,FALSE)</f>
        <v>Petani;Petani/Nelayan;Pegawai Swasta-Pertanian;Wiraswasta-Pertanian;Nelayan</v>
      </c>
    </row>
    <row r="164" spans="1:5" x14ac:dyDescent="0.35">
      <c r="A164" s="2">
        <v>45925</v>
      </c>
      <c r="B164" t="s">
        <v>45</v>
      </c>
      <c r="C164" t="s">
        <v>4</v>
      </c>
      <c r="D164" s="1">
        <v>6.83E-2</v>
      </c>
      <c r="E164" s="38" t="str">
        <f>VLOOKUP(DatabaseKalbar[[#This Row],[External Factor]],[2]!Table1[#Data],2,FALSE)</f>
        <v>Petani;Petani/Nelayan;Pegawai Swasta-Pertanian;Wiraswasta-Pertanian</v>
      </c>
    </row>
    <row r="165" spans="1:5" x14ac:dyDescent="0.35">
      <c r="A165" s="2">
        <v>45925</v>
      </c>
      <c r="B165" t="s">
        <v>45</v>
      </c>
      <c r="C165" t="s">
        <v>65</v>
      </c>
      <c r="D165" s="1">
        <v>6.6100000000000006E-2</v>
      </c>
      <c r="E165" s="38" t="str">
        <f>VLOOKUP(DatabaseKalbar[[#This Row],[External Factor]],[2]!Table1[#Data],2,FALSE)</f>
        <v>Pegawai Swasta-Perdagangan;Wiraswasta/Pedagang;Wiraswasta-Perdagangan</v>
      </c>
    </row>
    <row r="166" spans="1:5" x14ac:dyDescent="0.35">
      <c r="A166" s="2">
        <v>45925</v>
      </c>
      <c r="B166" t="s">
        <v>45</v>
      </c>
      <c r="C166" t="s">
        <v>67</v>
      </c>
      <c r="D166" s="1">
        <v>3.9E-2</v>
      </c>
      <c r="E166" s="38" t="str">
        <f>VLOOKUP(DatabaseKalbar[[#This Row],[External Factor]],[2]!Table1[#Data],2,FALSE)</f>
        <v>Petani;Petani/Nelayan;Pegawai Swasta-Pertanian;Wiraswasta-Pertanian</v>
      </c>
    </row>
    <row r="167" spans="1:5" x14ac:dyDescent="0.35">
      <c r="A167" s="2">
        <v>45925</v>
      </c>
      <c r="B167" t="s">
        <v>45</v>
      </c>
      <c r="C167" t="s">
        <v>71</v>
      </c>
      <c r="D167" s="1">
        <v>1.66E-2</v>
      </c>
      <c r="E167" s="38" t="str">
        <f>VLOOKUP(DatabaseKalbar[[#This Row],[External Factor]],[2]!Table1[#Data],2,FALSE)</f>
        <v>Ojek; Pegawai Swasta</v>
      </c>
    </row>
    <row r="168" spans="1:5" x14ac:dyDescent="0.35">
      <c r="A168" s="2">
        <v>45925</v>
      </c>
      <c r="B168" t="s">
        <v>45</v>
      </c>
      <c r="C168" t="s">
        <v>70</v>
      </c>
      <c r="D168" s="1">
        <v>1.52E-2</v>
      </c>
      <c r="E168" s="38">
        <f>VLOOKUP(DatabaseKalbar[[#This Row],[External Factor]],[2]!Table1[#Data],2,FALSE)</f>
        <v>0</v>
      </c>
    </row>
    <row r="169" spans="1:5" x14ac:dyDescent="0.35">
      <c r="A169" s="2">
        <v>45925</v>
      </c>
      <c r="B169" t="s">
        <v>45</v>
      </c>
      <c r="C169" t="s">
        <v>69</v>
      </c>
      <c r="D169" s="1">
        <v>1.52E-2</v>
      </c>
      <c r="E169" s="38" t="str">
        <f>VLOOKUP(DatabaseKalbar[[#This Row],[External Factor]],[2]!Table1[#Data],2,FALSE)</f>
        <v>Pegawai Swasta;Pegawai Swasta-Industri;Wiraswasta-Industri</v>
      </c>
    </row>
    <row r="170" spans="1:5" x14ac:dyDescent="0.35">
      <c r="A170" s="2">
        <v>45925</v>
      </c>
      <c r="B170" t="s">
        <v>45</v>
      </c>
      <c r="C170" t="s">
        <v>68</v>
      </c>
      <c r="D170" s="1">
        <v>1.2200000000000001E-2</v>
      </c>
      <c r="E170" s="38" t="str">
        <f>VLOOKUP(DatabaseKalbar[[#This Row],[External Factor]],[2]!Table1[#Data],2,FALSE)</f>
        <v>Ojek; Pegawai Swasta</v>
      </c>
    </row>
    <row r="171" spans="1:5" x14ac:dyDescent="0.35">
      <c r="A171" s="2">
        <v>45925</v>
      </c>
      <c r="B171" t="s">
        <v>45</v>
      </c>
      <c r="C171" t="s">
        <v>14</v>
      </c>
      <c r="D171" s="1">
        <v>1.1299999999999999E-2</v>
      </c>
      <c r="E171" s="38" t="str">
        <f>VLOOKUP(DatabaseKalbar[[#This Row],[External Factor]],[2]!Table1[#Data],2,FALSE)</f>
        <v>Pegawai Swasta-Perdagangan;Wiraswasta/Pedagang;Wiraswasta-Perdagangan</v>
      </c>
    </row>
    <row r="172" spans="1:5" x14ac:dyDescent="0.35">
      <c r="A172" s="2">
        <v>45925</v>
      </c>
      <c r="B172" t="s">
        <v>47</v>
      </c>
      <c r="C172" t="s">
        <v>3</v>
      </c>
      <c r="D172" s="1">
        <v>0.1019</v>
      </c>
      <c r="E172" s="38" t="str">
        <f>VLOOKUP(DatabaseKalbar[[#This Row],[External Factor]],[2]!Table1[#Data],2,FALSE)</f>
        <v>Petani;Petani/Nelayan;Pegawai Swasta-Pertanian;Wiraswasta-Pertanian;Nelayan</v>
      </c>
    </row>
    <row r="173" spans="1:5" x14ac:dyDescent="0.35">
      <c r="A173" s="2">
        <v>45925</v>
      </c>
      <c r="B173" t="s">
        <v>47</v>
      </c>
      <c r="C173" t="s">
        <v>4</v>
      </c>
      <c r="D173" s="1">
        <v>8.09E-2</v>
      </c>
      <c r="E173" s="38" t="str">
        <f>VLOOKUP(DatabaseKalbar[[#This Row],[External Factor]],[2]!Table1[#Data],2,FALSE)</f>
        <v>Petani;Petani/Nelayan;Pegawai Swasta-Pertanian;Wiraswasta-Pertanian</v>
      </c>
    </row>
    <row r="174" spans="1:5" x14ac:dyDescent="0.35">
      <c r="A174" s="2">
        <v>45925</v>
      </c>
      <c r="B174" t="s">
        <v>47</v>
      </c>
      <c r="C174" t="s">
        <v>65</v>
      </c>
      <c r="D174" s="1">
        <v>6.5199999999999994E-2</v>
      </c>
      <c r="E174" s="38" t="str">
        <f>VLOOKUP(DatabaseKalbar[[#This Row],[External Factor]],[2]!Table1[#Data],2,FALSE)</f>
        <v>Pegawai Swasta-Perdagangan;Wiraswasta/Pedagang;Wiraswasta-Perdagangan</v>
      </c>
    </row>
    <row r="175" spans="1:5" x14ac:dyDescent="0.35">
      <c r="A175" s="2">
        <v>45925</v>
      </c>
      <c r="B175" t="s">
        <v>47</v>
      </c>
      <c r="C175" t="s">
        <v>67</v>
      </c>
      <c r="D175" s="1">
        <v>5.3699999999999998E-2</v>
      </c>
      <c r="E175" s="38" t="str">
        <f>VLOOKUP(DatabaseKalbar[[#This Row],[External Factor]],[2]!Table1[#Data],2,FALSE)</f>
        <v>Petani;Petani/Nelayan;Pegawai Swasta-Pertanian;Wiraswasta-Pertanian</v>
      </c>
    </row>
    <row r="176" spans="1:5" x14ac:dyDescent="0.35">
      <c r="A176" s="2">
        <v>45925</v>
      </c>
      <c r="B176" t="s">
        <v>47</v>
      </c>
      <c r="C176" t="s">
        <v>66</v>
      </c>
      <c r="D176" s="1">
        <v>4.5600000000000002E-2</v>
      </c>
      <c r="E176" s="38" t="str">
        <f>VLOOKUP(DatabaseKalbar[[#This Row],[External Factor]],[2]!Table1[#Data],2,FALSE)</f>
        <v>Petani;Petani/Nelayan;Pegawai Swasta-Pertanian;Wiraswasta-Pertanian</v>
      </c>
    </row>
    <row r="177" spans="1:5" x14ac:dyDescent="0.35">
      <c r="A177" s="2">
        <v>45925</v>
      </c>
      <c r="B177" t="s">
        <v>47</v>
      </c>
      <c r="C177" t="s">
        <v>71</v>
      </c>
      <c r="D177" s="1">
        <v>1.89E-2</v>
      </c>
      <c r="E177" s="38" t="str">
        <f>VLOOKUP(DatabaseKalbar[[#This Row],[External Factor]],[2]!Table1[#Data],2,FALSE)</f>
        <v>Ojek; Pegawai Swasta</v>
      </c>
    </row>
    <row r="178" spans="1:5" x14ac:dyDescent="0.35">
      <c r="A178" s="2">
        <v>45925</v>
      </c>
      <c r="B178" t="s">
        <v>47</v>
      </c>
      <c r="C178" t="s">
        <v>69</v>
      </c>
      <c r="D178" s="1">
        <v>1.6500000000000001E-2</v>
      </c>
      <c r="E178" s="38" t="str">
        <f>VLOOKUP(DatabaseKalbar[[#This Row],[External Factor]],[2]!Table1[#Data],2,FALSE)</f>
        <v>Pegawai Swasta;Pegawai Swasta-Industri;Wiraswasta-Industri</v>
      </c>
    </row>
    <row r="179" spans="1:5" x14ac:dyDescent="0.35">
      <c r="A179" s="2">
        <v>45925</v>
      </c>
      <c r="B179" t="s">
        <v>47</v>
      </c>
      <c r="C179" t="s">
        <v>70</v>
      </c>
      <c r="D179" s="1">
        <v>1.29E-2</v>
      </c>
      <c r="E179" s="38">
        <f>VLOOKUP(DatabaseKalbar[[#This Row],[External Factor]],[2]!Table1[#Data],2,FALSE)</f>
        <v>0</v>
      </c>
    </row>
    <row r="180" spans="1:5" x14ac:dyDescent="0.35">
      <c r="A180" s="2">
        <v>45925</v>
      </c>
      <c r="B180" t="s">
        <v>47</v>
      </c>
      <c r="C180" t="s">
        <v>74</v>
      </c>
      <c r="D180" s="1">
        <v>1.2E-2</v>
      </c>
      <c r="E180" s="38" t="str">
        <f>VLOOKUP(DatabaseKalbar[[#This Row],[External Factor]],[2]!Table1[#Data],2,FALSE)</f>
        <v>Pegawai Swasta;Pegawai Swasta-Industri;Wiraswasta-Industri</v>
      </c>
    </row>
    <row r="181" spans="1:5" x14ac:dyDescent="0.35">
      <c r="A181" s="2">
        <v>45925</v>
      </c>
      <c r="B181" t="s">
        <v>47</v>
      </c>
      <c r="C181" t="s">
        <v>72</v>
      </c>
      <c r="D181" s="1">
        <v>1.0500000000000001E-2</v>
      </c>
      <c r="E181" s="38" t="str">
        <f>VLOOKUP(DatabaseKalbar[[#This Row],[External Factor]],[2]!Table1[#Data],2,FALSE)</f>
        <v>Pegawai Swasta-Konstruksi;Wiraswasta-Konstruksi</v>
      </c>
    </row>
    <row r="182" spans="1:5" x14ac:dyDescent="0.35">
      <c r="A182" s="2">
        <v>45925</v>
      </c>
      <c r="B182" t="s">
        <v>49</v>
      </c>
      <c r="C182" t="s">
        <v>4</v>
      </c>
      <c r="D182" s="1">
        <v>7.1900000000000006E-2</v>
      </c>
      <c r="E182" s="38" t="str">
        <f>VLOOKUP(DatabaseKalbar[[#This Row],[External Factor]],[2]!Table1[#Data],2,FALSE)</f>
        <v>Petani;Petani/Nelayan;Pegawai Swasta-Pertanian;Wiraswasta-Pertanian</v>
      </c>
    </row>
    <row r="183" spans="1:5" x14ac:dyDescent="0.35">
      <c r="A183" s="2">
        <v>45925</v>
      </c>
      <c r="B183" t="s">
        <v>49</v>
      </c>
      <c r="C183" t="s">
        <v>3</v>
      </c>
      <c r="D183" s="1">
        <v>4.41E-2</v>
      </c>
      <c r="E183" s="38" t="str">
        <f>VLOOKUP(DatabaseKalbar[[#This Row],[External Factor]],[2]!Table1[#Data],2,FALSE)</f>
        <v>Petani;Petani/Nelayan;Pegawai Swasta-Pertanian;Wiraswasta-Pertanian;Nelayan</v>
      </c>
    </row>
    <row r="184" spans="1:5" x14ac:dyDescent="0.35">
      <c r="A184" s="2">
        <v>45925</v>
      </c>
      <c r="B184" t="s">
        <v>49</v>
      </c>
      <c r="C184" t="s">
        <v>65</v>
      </c>
      <c r="D184" s="1">
        <v>4.2900000000000001E-2</v>
      </c>
      <c r="E184" s="38" t="str">
        <f>VLOOKUP(DatabaseKalbar[[#This Row],[External Factor]],[2]!Table1[#Data],2,FALSE)</f>
        <v>Pegawai Swasta-Perdagangan;Wiraswasta/Pedagang;Wiraswasta-Perdagangan</v>
      </c>
    </row>
    <row r="185" spans="1:5" x14ac:dyDescent="0.35">
      <c r="A185" s="2">
        <v>45925</v>
      </c>
      <c r="B185" t="s">
        <v>49</v>
      </c>
      <c r="C185" t="s">
        <v>81</v>
      </c>
      <c r="D185" s="1">
        <v>3.0800000000000001E-2</v>
      </c>
      <c r="E185" s="38" t="e">
        <f>VLOOKUP(DatabaseKalbar[[#This Row],[External Factor]],[2]!Table1[#Data],2,FALSE)</f>
        <v>#N/A</v>
      </c>
    </row>
    <row r="186" spans="1:5" x14ac:dyDescent="0.35">
      <c r="A186" s="2">
        <v>45925</v>
      </c>
      <c r="B186" t="s">
        <v>49</v>
      </c>
      <c r="C186" t="s">
        <v>70</v>
      </c>
      <c r="D186" s="1">
        <v>3.04E-2</v>
      </c>
      <c r="E186" s="38">
        <f>VLOOKUP(DatabaseKalbar[[#This Row],[External Factor]],[2]!Table1[#Data],2,FALSE)</f>
        <v>0</v>
      </c>
    </row>
    <row r="187" spans="1:5" x14ac:dyDescent="0.35">
      <c r="A187" s="2">
        <v>45925</v>
      </c>
      <c r="B187" t="s">
        <v>49</v>
      </c>
      <c r="C187" t="s">
        <v>75</v>
      </c>
      <c r="D187" s="1">
        <v>3.0200000000000001E-2</v>
      </c>
      <c r="E187" s="38" t="str">
        <f>VLOOKUP(DatabaseKalbar[[#This Row],[External Factor]],[2]!Table1[#Data],2,FALSE)</f>
        <v>Pegawai Swasta-Konstruksi;Wiraswasta-Konstruksi</v>
      </c>
    </row>
    <row r="188" spans="1:5" x14ac:dyDescent="0.35">
      <c r="A188" s="2">
        <v>45925</v>
      </c>
      <c r="B188" t="s">
        <v>49</v>
      </c>
      <c r="C188" t="s">
        <v>13</v>
      </c>
      <c r="D188" s="1">
        <v>2.2100000000000002E-2</v>
      </c>
      <c r="E188" s="38" t="str">
        <f>VLOOKUP(DatabaseKalbar[[#This Row],[External Factor]],[2]!Table1[#Data],2,FALSE)</f>
        <v>Pegawai Swasta-Perdagangan;Wiraswasta/Pedagang;Wiraswasta-Perdagangan</v>
      </c>
    </row>
    <row r="189" spans="1:5" x14ac:dyDescent="0.35">
      <c r="A189" s="2">
        <v>45925</v>
      </c>
      <c r="B189" t="s">
        <v>49</v>
      </c>
      <c r="C189" t="s">
        <v>66</v>
      </c>
      <c r="D189" s="1">
        <v>2.1499999999999998E-2</v>
      </c>
      <c r="E189" s="38" t="str">
        <f>VLOOKUP(DatabaseKalbar[[#This Row],[External Factor]],[2]!Table1[#Data],2,FALSE)</f>
        <v>Petani;Petani/Nelayan;Pegawai Swasta-Pertanian;Wiraswasta-Pertanian</v>
      </c>
    </row>
    <row r="190" spans="1:5" x14ac:dyDescent="0.35">
      <c r="A190" s="2">
        <v>45925</v>
      </c>
      <c r="B190" t="s">
        <v>49</v>
      </c>
      <c r="C190" t="s">
        <v>71</v>
      </c>
      <c r="D190" s="1">
        <v>2.1100000000000001E-2</v>
      </c>
      <c r="E190" s="38" t="str">
        <f>VLOOKUP(DatabaseKalbar[[#This Row],[External Factor]],[2]!Table1[#Data],2,FALSE)</f>
        <v>Ojek; Pegawai Swasta</v>
      </c>
    </row>
    <row r="191" spans="1:5" x14ac:dyDescent="0.35">
      <c r="A191" s="2">
        <v>45925</v>
      </c>
      <c r="B191" t="s">
        <v>49</v>
      </c>
      <c r="C191" t="s">
        <v>67</v>
      </c>
      <c r="D191" s="1">
        <v>1.55E-2</v>
      </c>
      <c r="E191" s="38" t="str">
        <f>VLOOKUP(DatabaseKalbar[[#This Row],[External Factor]],[2]!Table1[#Data],2,FALSE)</f>
        <v>Petani;Petani/Nelayan;Pegawai Swasta-Pertanian;Wiraswasta-Pertanian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C894-96DD-49BF-B476-9530589CE3F9}">
  <dimension ref="A1:C213"/>
  <sheetViews>
    <sheetView topLeftCell="A185" workbookViewId="0">
      <selection activeCell="A190" sqref="A190"/>
    </sheetView>
  </sheetViews>
  <sheetFormatPr defaultRowHeight="14.5" x14ac:dyDescent="0.35"/>
  <cols>
    <col min="1" max="1" width="93.1796875" bestFit="1" customWidth="1"/>
    <col min="2" max="2" width="10" bestFit="1" customWidth="1"/>
    <col min="3" max="3" width="75" bestFit="1" customWidth="1"/>
    <col min="4" max="4" width="15.1796875" bestFit="1" customWidth="1"/>
    <col min="5" max="5" width="35.26953125" bestFit="1" customWidth="1"/>
    <col min="6" max="6" width="72.54296875" bestFit="1" customWidth="1"/>
    <col min="7" max="7" width="67.1796875" bestFit="1" customWidth="1"/>
    <col min="8" max="8" width="75.26953125" bestFit="1" customWidth="1"/>
    <col min="9" max="9" width="11.26953125" bestFit="1" customWidth="1"/>
  </cols>
  <sheetData>
    <row r="1" spans="1:3" x14ac:dyDescent="0.35">
      <c r="A1" s="3" t="s">
        <v>6</v>
      </c>
      <c r="B1" s="11">
        <v>45925</v>
      </c>
    </row>
    <row r="3" spans="1:3" x14ac:dyDescent="0.35">
      <c r="A3" s="3" t="s">
        <v>76</v>
      </c>
      <c r="B3" t="s">
        <v>77</v>
      </c>
      <c r="C3" s="23" t="s">
        <v>9</v>
      </c>
    </row>
    <row r="4" spans="1:3" hidden="1" x14ac:dyDescent="0.35">
      <c r="A4" s="4" t="s">
        <v>64</v>
      </c>
      <c r="B4" s="5">
        <v>0.45750000000000002</v>
      </c>
    </row>
    <row r="5" spans="1:3" hidden="1" x14ac:dyDescent="0.35">
      <c r="A5" s="6" t="s">
        <v>3</v>
      </c>
      <c r="B5" s="5">
        <v>9.4799999999999995E-2</v>
      </c>
      <c r="C5" t="str">
        <f>VLOOKUP(A5,DatabaseKalbar[[External Factor]:[Worker]],3,FALSE)</f>
        <v>Petani;Petani/Nelayan;Pegawai Swasta-Pertanian;Wiraswasta-Pertanian;Nelayan</v>
      </c>
    </row>
    <row r="6" spans="1:3" hidden="1" x14ac:dyDescent="0.35">
      <c r="A6" s="6" t="s">
        <v>4</v>
      </c>
      <c r="B6" s="5">
        <v>8.3799999999999999E-2</v>
      </c>
      <c r="C6" t="str">
        <f>VLOOKUP(A6,DatabaseKalbar[[External Factor]:[Worker]],3,FALSE)</f>
        <v>Petani;Petani/Nelayan;Pegawai Swasta-Pertanian;Wiraswasta-Pertanian</v>
      </c>
    </row>
    <row r="7" spans="1:3" hidden="1" x14ac:dyDescent="0.35">
      <c r="A7" s="6" t="s">
        <v>65</v>
      </c>
      <c r="B7" s="5">
        <v>8.2000000000000003E-2</v>
      </c>
      <c r="C7" t="str">
        <f>VLOOKUP(A7,DatabaseKalbar[[External Factor]:[Worker]],3,FALSE)</f>
        <v>Pegawai Swasta-Perdagangan;Wiraswasta/Pedagang;Wiraswasta-Perdagangan</v>
      </c>
    </row>
    <row r="8" spans="1:3" hidden="1" x14ac:dyDescent="0.35">
      <c r="A8" s="6" t="s">
        <v>66</v>
      </c>
      <c r="B8" s="5">
        <v>3.7499999999999999E-2</v>
      </c>
      <c r="C8" t="str">
        <f>VLOOKUP(A8,DatabaseKalbar[[External Factor]:[Worker]],3,FALSE)</f>
        <v>Petani;Petani/Nelayan;Pegawai Swasta-Pertanian;Wiraswasta-Pertanian</v>
      </c>
    </row>
    <row r="9" spans="1:3" hidden="1" x14ac:dyDescent="0.35">
      <c r="A9" s="6" t="s">
        <v>71</v>
      </c>
      <c r="B9" s="5">
        <v>3.5200000000000002E-2</v>
      </c>
      <c r="C9" t="str">
        <f>VLOOKUP(A9,DatabaseKalbar[[External Factor]:[Worker]],3,FALSE)</f>
        <v>Ojek; Pegawai Swasta</v>
      </c>
    </row>
    <row r="10" spans="1:3" hidden="1" x14ac:dyDescent="0.35">
      <c r="A10" s="6" t="s">
        <v>67</v>
      </c>
      <c r="B10" s="5">
        <v>2.9000000000000001E-2</v>
      </c>
      <c r="C10" t="str">
        <f>VLOOKUP(A10,DatabaseKalbar[[External Factor]:[Worker]],3,FALSE)</f>
        <v>Petani;Petani/Nelayan;Pegawai Swasta-Pertanian;Wiraswasta-Pertanian</v>
      </c>
    </row>
    <row r="11" spans="1:3" hidden="1" x14ac:dyDescent="0.35">
      <c r="A11" s="6" t="s">
        <v>68</v>
      </c>
      <c r="B11" s="5">
        <v>2.6200000000000001E-2</v>
      </c>
      <c r="C11" t="str">
        <f>VLOOKUP(A11,DatabaseKalbar[[External Factor]:[Worker]],3,FALSE)</f>
        <v>Ojek; Pegawai Swasta</v>
      </c>
    </row>
    <row r="12" spans="1:3" hidden="1" x14ac:dyDescent="0.35">
      <c r="A12" s="6" t="s">
        <v>69</v>
      </c>
      <c r="B12" s="5">
        <v>2.3800000000000002E-2</v>
      </c>
      <c r="C12" t="str">
        <f>VLOOKUP(A12,DatabaseKalbar[[External Factor]:[Worker]],3,FALSE)</f>
        <v>Pegawai Swasta;Pegawai Swasta-Industri;Wiraswasta-Industri</v>
      </c>
    </row>
    <row r="13" spans="1:3" hidden="1" x14ac:dyDescent="0.35">
      <c r="A13" s="6" t="s">
        <v>13</v>
      </c>
      <c r="B13" s="5">
        <v>2.3400000000000001E-2</v>
      </c>
      <c r="C13" t="str">
        <f>VLOOKUP(A13,DatabaseKalbar[[External Factor]:[Worker]],3,FALSE)</f>
        <v>Pegawai Swasta-Perdagangan;Wiraswasta/Pedagang;Wiraswasta-Perdagangan</v>
      </c>
    </row>
    <row r="14" spans="1:3" hidden="1" x14ac:dyDescent="0.35">
      <c r="A14" s="6" t="s">
        <v>75</v>
      </c>
      <c r="B14" s="5">
        <v>2.18E-2</v>
      </c>
      <c r="C14" t="str">
        <f>VLOOKUP(A14,DatabaseKalbar[[External Factor]:[Worker]],3,FALSE)</f>
        <v>Pegawai Swasta-Konstruksi;Wiraswasta-Konstruksi</v>
      </c>
    </row>
    <row r="15" spans="1:3" hidden="1" x14ac:dyDescent="0.35">
      <c r="A15" s="4" t="s">
        <v>18</v>
      </c>
      <c r="B15" s="5">
        <v>0.61629999999999996</v>
      </c>
    </row>
    <row r="16" spans="1:3" hidden="1" x14ac:dyDescent="0.35">
      <c r="A16" s="6" t="s">
        <v>71</v>
      </c>
      <c r="B16" s="5">
        <v>0.28089999999999998</v>
      </c>
      <c r="C16" t="str">
        <f>VLOOKUP(A16,DatabaseKalbar[[External Factor]:[Worker]],3,FALSE)</f>
        <v>Ojek; Pegawai Swasta</v>
      </c>
    </row>
    <row r="17" spans="1:3" hidden="1" x14ac:dyDescent="0.35">
      <c r="A17" s="6" t="s">
        <v>13</v>
      </c>
      <c r="B17" s="5">
        <v>6.6799999999999998E-2</v>
      </c>
      <c r="C17" t="str">
        <f>VLOOKUP(A17,DatabaseKalbar[[External Factor]:[Worker]],3,FALSE)</f>
        <v>Pegawai Swasta-Perdagangan;Wiraswasta/Pedagang;Wiraswasta-Perdagangan</v>
      </c>
    </row>
    <row r="18" spans="1:3" hidden="1" x14ac:dyDescent="0.35">
      <c r="A18" s="6" t="s">
        <v>69</v>
      </c>
      <c r="B18" s="5">
        <v>6.0600000000000001E-2</v>
      </c>
      <c r="C18" t="str">
        <f>VLOOKUP(A18,DatabaseKalbar[[External Factor]:[Worker]],3,FALSE)</f>
        <v>Pegawai Swasta;Pegawai Swasta-Industri;Wiraswasta-Industri</v>
      </c>
    </row>
    <row r="19" spans="1:3" hidden="1" x14ac:dyDescent="0.35">
      <c r="A19" s="6" t="s">
        <v>70</v>
      </c>
      <c r="B19" s="5">
        <v>4.7300000000000002E-2</v>
      </c>
      <c r="C19">
        <f>VLOOKUP(A19,DatabaseKalbar[[External Factor]:[Worker]],3,FALSE)</f>
        <v>0</v>
      </c>
    </row>
    <row r="20" spans="1:3" hidden="1" x14ac:dyDescent="0.35">
      <c r="A20" s="6" t="s">
        <v>3</v>
      </c>
      <c r="B20" s="5">
        <v>4.53E-2</v>
      </c>
      <c r="C20" t="str">
        <f>VLOOKUP(A20,DatabaseKalbar[[External Factor]:[Worker]],3,FALSE)</f>
        <v>Petani;Petani/Nelayan;Pegawai Swasta-Pertanian;Wiraswasta-Pertanian;Nelayan</v>
      </c>
    </row>
    <row r="21" spans="1:3" hidden="1" x14ac:dyDescent="0.35">
      <c r="A21" s="6" t="s">
        <v>73</v>
      </c>
      <c r="B21" s="5">
        <v>3.3399999999999999E-2</v>
      </c>
      <c r="C21" t="str">
        <f>VLOOKUP(A21,DatabaseKalbar[[External Factor]:[Worker]],3,FALSE)</f>
        <v>Pegawai Swasta-Jasa;Wiraswasta-Jasa</v>
      </c>
    </row>
    <row r="22" spans="1:3" hidden="1" x14ac:dyDescent="0.35">
      <c r="A22" s="6" t="s">
        <v>72</v>
      </c>
      <c r="B22" s="5">
        <v>2.53E-2</v>
      </c>
      <c r="C22" t="str">
        <f>VLOOKUP(A22,DatabaseKalbar[[External Factor]:[Worker]],3,FALSE)</f>
        <v>Pegawai Swasta-Konstruksi;Wiraswasta-Konstruksi</v>
      </c>
    </row>
    <row r="23" spans="1:3" hidden="1" x14ac:dyDescent="0.35">
      <c r="A23" s="6" t="s">
        <v>4</v>
      </c>
      <c r="B23" s="5">
        <v>2.35E-2</v>
      </c>
      <c r="C23" t="str">
        <f>VLOOKUP(A23,DatabaseKalbar[[External Factor]:[Worker]],3,FALSE)</f>
        <v>Petani;Petani/Nelayan;Pegawai Swasta-Pertanian;Wiraswasta-Pertanian</v>
      </c>
    </row>
    <row r="24" spans="1:3" hidden="1" x14ac:dyDescent="0.35">
      <c r="A24" s="6" t="s">
        <v>65</v>
      </c>
      <c r="B24" s="5">
        <v>2.24E-2</v>
      </c>
      <c r="C24" t="str">
        <f>VLOOKUP(A24,DatabaseKalbar[[External Factor]:[Worker]],3,FALSE)</f>
        <v>Pegawai Swasta-Perdagangan;Wiraswasta/Pedagang;Wiraswasta-Perdagangan</v>
      </c>
    </row>
    <row r="25" spans="1:3" hidden="1" x14ac:dyDescent="0.35">
      <c r="A25" s="6" t="s">
        <v>75</v>
      </c>
      <c r="B25" s="5">
        <v>1.0800000000000001E-2</v>
      </c>
      <c r="C25" t="str">
        <f>VLOOKUP(A25,DatabaseKalbar[[External Factor]:[Worker]],3,FALSE)</f>
        <v>Pegawai Swasta-Konstruksi;Wiraswasta-Konstruksi</v>
      </c>
    </row>
    <row r="26" spans="1:3" hidden="1" x14ac:dyDescent="0.35">
      <c r="A26" s="4" t="s">
        <v>20</v>
      </c>
      <c r="B26" s="5">
        <v>0.47559999999999997</v>
      </c>
    </row>
    <row r="27" spans="1:3" hidden="1" x14ac:dyDescent="0.35">
      <c r="A27" s="6" t="s">
        <v>66</v>
      </c>
      <c r="B27" s="5">
        <v>0.15179999999999999</v>
      </c>
      <c r="C27" t="str">
        <f>VLOOKUP(A27,DatabaseKalbar[[External Factor]:[Worker]],3,FALSE)</f>
        <v>Petani;Petani/Nelayan;Pegawai Swasta-Pertanian;Wiraswasta-Pertanian</v>
      </c>
    </row>
    <row r="28" spans="1:3" hidden="1" x14ac:dyDescent="0.35">
      <c r="A28" s="6" t="s">
        <v>3</v>
      </c>
      <c r="B28" s="5">
        <v>7.9899999999999999E-2</v>
      </c>
      <c r="C28" t="str">
        <f>VLOOKUP(A28,DatabaseKalbar[[External Factor]:[Worker]],3,FALSE)</f>
        <v>Petani;Petani/Nelayan;Pegawai Swasta-Pertanian;Wiraswasta-Pertanian;Nelayan</v>
      </c>
    </row>
    <row r="29" spans="1:3" hidden="1" x14ac:dyDescent="0.35">
      <c r="A29" s="6" t="s">
        <v>4</v>
      </c>
      <c r="B29" s="5">
        <v>6.83E-2</v>
      </c>
      <c r="C29" t="str">
        <f>VLOOKUP(A29,DatabaseKalbar[[External Factor]:[Worker]],3,FALSE)</f>
        <v>Petani;Petani/Nelayan;Pegawai Swasta-Pertanian;Wiraswasta-Pertanian</v>
      </c>
    </row>
    <row r="30" spans="1:3" hidden="1" x14ac:dyDescent="0.35">
      <c r="A30" s="6" t="s">
        <v>65</v>
      </c>
      <c r="B30" s="5">
        <v>6.6100000000000006E-2</v>
      </c>
      <c r="C30" t="str">
        <f>VLOOKUP(A30,DatabaseKalbar[[External Factor]:[Worker]],3,FALSE)</f>
        <v>Pegawai Swasta-Perdagangan;Wiraswasta/Pedagang;Wiraswasta-Perdagangan</v>
      </c>
    </row>
    <row r="31" spans="1:3" hidden="1" x14ac:dyDescent="0.35">
      <c r="A31" s="6" t="s">
        <v>67</v>
      </c>
      <c r="B31" s="5">
        <v>3.9E-2</v>
      </c>
      <c r="C31" t="str">
        <f>VLOOKUP(A31,DatabaseKalbar[[External Factor]:[Worker]],3,FALSE)</f>
        <v>Petani;Petani/Nelayan;Pegawai Swasta-Pertanian;Wiraswasta-Pertanian</v>
      </c>
    </row>
    <row r="32" spans="1:3" hidden="1" x14ac:dyDescent="0.35">
      <c r="A32" s="6" t="s">
        <v>71</v>
      </c>
      <c r="B32" s="5">
        <v>1.66E-2</v>
      </c>
      <c r="C32" t="str">
        <f>VLOOKUP(A32,DatabaseKalbar[[External Factor]:[Worker]],3,FALSE)</f>
        <v>Ojek; Pegawai Swasta</v>
      </c>
    </row>
    <row r="33" spans="1:3" hidden="1" x14ac:dyDescent="0.35">
      <c r="A33" s="6" t="s">
        <v>70</v>
      </c>
      <c r="B33" s="5">
        <v>1.52E-2</v>
      </c>
      <c r="C33">
        <f>VLOOKUP(A33,DatabaseKalbar[[External Factor]:[Worker]],3,FALSE)</f>
        <v>0</v>
      </c>
    </row>
    <row r="34" spans="1:3" hidden="1" x14ac:dyDescent="0.35">
      <c r="A34" s="6" t="s">
        <v>69</v>
      </c>
      <c r="B34" s="5">
        <v>1.52E-2</v>
      </c>
      <c r="C34" t="str">
        <f>VLOOKUP(A34,DatabaseKalbar[[External Factor]:[Worker]],3,FALSE)</f>
        <v>Pegawai Swasta;Pegawai Swasta-Industri;Wiraswasta-Industri</v>
      </c>
    </row>
    <row r="35" spans="1:3" hidden="1" x14ac:dyDescent="0.35">
      <c r="A35" s="6" t="s">
        <v>68</v>
      </c>
      <c r="B35" s="5">
        <v>1.2200000000000001E-2</v>
      </c>
      <c r="C35" t="str">
        <f>VLOOKUP(A35,DatabaseKalbar[[External Factor]:[Worker]],3,FALSE)</f>
        <v>Ojek; Pegawai Swasta</v>
      </c>
    </row>
    <row r="36" spans="1:3" hidden="1" x14ac:dyDescent="0.35">
      <c r="A36" s="6" t="s">
        <v>14</v>
      </c>
      <c r="B36" s="5">
        <v>1.1299999999999999E-2</v>
      </c>
      <c r="C36" t="str">
        <f>VLOOKUP(A36,DatabaseKalbar[[External Factor]:[Worker]],3,FALSE)</f>
        <v>Pegawai Swasta-Perdagangan;Wiraswasta/Pedagang;Wiraswasta-Perdagangan</v>
      </c>
    </row>
    <row r="37" spans="1:3" hidden="1" x14ac:dyDescent="0.35">
      <c r="A37" s="4" t="s">
        <v>22</v>
      </c>
      <c r="B37" s="5">
        <v>0.4768</v>
      </c>
    </row>
    <row r="38" spans="1:3" hidden="1" x14ac:dyDescent="0.35">
      <c r="A38" s="6" t="s">
        <v>3</v>
      </c>
      <c r="B38" s="5">
        <v>0.1472</v>
      </c>
      <c r="C38" t="str">
        <f>VLOOKUP(A38,DatabaseKalbar[[External Factor]:[Worker]],3,FALSE)</f>
        <v>Petani;Petani/Nelayan;Pegawai Swasta-Pertanian;Wiraswasta-Pertanian;Nelayan</v>
      </c>
    </row>
    <row r="39" spans="1:3" hidden="1" x14ac:dyDescent="0.35">
      <c r="A39" s="6" t="s">
        <v>4</v>
      </c>
      <c r="B39" s="5">
        <v>0.11119999999999999</v>
      </c>
      <c r="C39" t="str">
        <f>VLOOKUP(A39,DatabaseKalbar[[External Factor]:[Worker]],3,FALSE)</f>
        <v>Petani;Petani/Nelayan;Pegawai Swasta-Pertanian;Wiraswasta-Pertanian</v>
      </c>
    </row>
    <row r="40" spans="1:3" hidden="1" x14ac:dyDescent="0.35">
      <c r="A40" s="6" t="s">
        <v>65</v>
      </c>
      <c r="B40" s="5">
        <v>9.1999999999999998E-2</v>
      </c>
      <c r="C40" t="str">
        <f>VLOOKUP(A40,DatabaseKalbar[[External Factor]:[Worker]],3,FALSE)</f>
        <v>Pegawai Swasta-Perdagangan;Wiraswasta/Pedagang;Wiraswasta-Perdagangan</v>
      </c>
    </row>
    <row r="41" spans="1:3" hidden="1" x14ac:dyDescent="0.35">
      <c r="A41" s="6" t="s">
        <v>69</v>
      </c>
      <c r="B41" s="5">
        <v>2.3400000000000001E-2</v>
      </c>
      <c r="C41" t="str">
        <f>VLOOKUP(A41,DatabaseKalbar[[External Factor]:[Worker]],3,FALSE)</f>
        <v>Pegawai Swasta;Pegawai Swasta-Industri;Wiraswasta-Industri</v>
      </c>
    </row>
    <row r="42" spans="1:3" hidden="1" x14ac:dyDescent="0.35">
      <c r="A42" s="6" t="s">
        <v>72</v>
      </c>
      <c r="B42" s="5">
        <v>1.9E-2</v>
      </c>
      <c r="C42" t="str">
        <f>VLOOKUP(A42,DatabaseKalbar[[External Factor]:[Worker]],3,FALSE)</f>
        <v>Pegawai Swasta-Konstruksi;Wiraswasta-Konstruksi</v>
      </c>
    </row>
    <row r="43" spans="1:3" hidden="1" x14ac:dyDescent="0.35">
      <c r="A43" s="6" t="s">
        <v>74</v>
      </c>
      <c r="B43" s="5">
        <v>1.84E-2</v>
      </c>
      <c r="C43" t="str">
        <f>VLOOKUP(A43,DatabaseKalbar[[External Factor]:[Worker]],3,FALSE)</f>
        <v>Pegawai Swasta;Pegawai Swasta-Industri;Wiraswasta-Industri</v>
      </c>
    </row>
    <row r="44" spans="1:3" hidden="1" x14ac:dyDescent="0.35">
      <c r="A44" s="6" t="s">
        <v>71</v>
      </c>
      <c r="B44" s="5">
        <v>1.8200000000000001E-2</v>
      </c>
      <c r="C44" t="str">
        <f>VLOOKUP(A44,DatabaseKalbar[[External Factor]:[Worker]],3,FALSE)</f>
        <v>Ojek; Pegawai Swasta</v>
      </c>
    </row>
    <row r="45" spans="1:3" hidden="1" x14ac:dyDescent="0.35">
      <c r="A45" s="6" t="s">
        <v>67</v>
      </c>
      <c r="B45" s="5">
        <v>1.6400000000000001E-2</v>
      </c>
      <c r="C45" t="str">
        <f>VLOOKUP(A45,DatabaseKalbar[[External Factor]:[Worker]],3,FALSE)</f>
        <v>Petani;Petani/Nelayan;Pegawai Swasta-Pertanian;Wiraswasta-Pertanian</v>
      </c>
    </row>
    <row r="46" spans="1:3" hidden="1" x14ac:dyDescent="0.35">
      <c r="A46" s="6" t="s">
        <v>70</v>
      </c>
      <c r="B46" s="5">
        <v>1.5599999999999999E-2</v>
      </c>
      <c r="C46">
        <f>VLOOKUP(A46,DatabaseKalbar[[External Factor]:[Worker]],3,FALSE)</f>
        <v>0</v>
      </c>
    </row>
    <row r="47" spans="1:3" hidden="1" x14ac:dyDescent="0.35">
      <c r="A47" s="6" t="s">
        <v>68</v>
      </c>
      <c r="B47" s="5">
        <v>1.54E-2</v>
      </c>
      <c r="C47" t="str">
        <f>VLOOKUP(A47,DatabaseKalbar[[External Factor]:[Worker]],3,FALSE)</f>
        <v>Ojek; Pegawai Swasta</v>
      </c>
    </row>
    <row r="48" spans="1:3" hidden="1" x14ac:dyDescent="0.35">
      <c r="A48" s="4" t="s">
        <v>23</v>
      </c>
      <c r="B48" s="5">
        <v>0.4768</v>
      </c>
    </row>
    <row r="49" spans="1:3" hidden="1" x14ac:dyDescent="0.35">
      <c r="A49" s="6" t="s">
        <v>3</v>
      </c>
      <c r="B49" s="5">
        <v>0.1472</v>
      </c>
      <c r="C49" t="str">
        <f>VLOOKUP(A49,DatabaseKalbar[[External Factor]:[Worker]],3,FALSE)</f>
        <v>Petani;Petani/Nelayan;Pegawai Swasta-Pertanian;Wiraswasta-Pertanian;Nelayan</v>
      </c>
    </row>
    <row r="50" spans="1:3" hidden="1" x14ac:dyDescent="0.35">
      <c r="A50" s="6" t="s">
        <v>4</v>
      </c>
      <c r="B50" s="5">
        <v>0.11119999999999999</v>
      </c>
      <c r="C50" t="str">
        <f>VLOOKUP(A50,DatabaseKalbar[[External Factor]:[Worker]],3,FALSE)</f>
        <v>Petani;Petani/Nelayan;Pegawai Swasta-Pertanian;Wiraswasta-Pertanian</v>
      </c>
    </row>
    <row r="51" spans="1:3" hidden="1" x14ac:dyDescent="0.35">
      <c r="A51" s="6" t="s">
        <v>65</v>
      </c>
      <c r="B51" s="5">
        <v>9.1999999999999998E-2</v>
      </c>
      <c r="C51" t="str">
        <f>VLOOKUP(A51,DatabaseKalbar[[External Factor]:[Worker]],3,FALSE)</f>
        <v>Pegawai Swasta-Perdagangan;Wiraswasta/Pedagang;Wiraswasta-Perdagangan</v>
      </c>
    </row>
    <row r="52" spans="1:3" hidden="1" x14ac:dyDescent="0.35">
      <c r="A52" s="6" t="s">
        <v>69</v>
      </c>
      <c r="B52" s="5">
        <v>2.3400000000000001E-2</v>
      </c>
      <c r="C52" t="str">
        <f>VLOOKUP(A52,DatabaseKalbar[[External Factor]:[Worker]],3,FALSE)</f>
        <v>Pegawai Swasta;Pegawai Swasta-Industri;Wiraswasta-Industri</v>
      </c>
    </row>
    <row r="53" spans="1:3" hidden="1" x14ac:dyDescent="0.35">
      <c r="A53" s="6" t="s">
        <v>72</v>
      </c>
      <c r="B53" s="5">
        <v>1.9E-2</v>
      </c>
      <c r="C53" t="str">
        <f>VLOOKUP(A53,DatabaseKalbar[[External Factor]:[Worker]],3,FALSE)</f>
        <v>Pegawai Swasta-Konstruksi;Wiraswasta-Konstruksi</v>
      </c>
    </row>
    <row r="54" spans="1:3" hidden="1" x14ac:dyDescent="0.35">
      <c r="A54" s="6" t="s">
        <v>74</v>
      </c>
      <c r="B54" s="5">
        <v>1.84E-2</v>
      </c>
      <c r="C54" t="str">
        <f>VLOOKUP(A54,DatabaseKalbar[[External Factor]:[Worker]],3,FALSE)</f>
        <v>Pegawai Swasta;Pegawai Swasta-Industri;Wiraswasta-Industri</v>
      </c>
    </row>
    <row r="55" spans="1:3" hidden="1" x14ac:dyDescent="0.35">
      <c r="A55" s="6" t="s">
        <v>71</v>
      </c>
      <c r="B55" s="5">
        <v>1.8200000000000001E-2</v>
      </c>
      <c r="C55" t="str">
        <f>VLOOKUP(A55,DatabaseKalbar[[External Factor]:[Worker]],3,FALSE)</f>
        <v>Ojek; Pegawai Swasta</v>
      </c>
    </row>
    <row r="56" spans="1:3" hidden="1" x14ac:dyDescent="0.35">
      <c r="A56" s="6" t="s">
        <v>67</v>
      </c>
      <c r="B56" s="5">
        <v>1.6400000000000001E-2</v>
      </c>
      <c r="C56" t="str">
        <f>VLOOKUP(A56,DatabaseKalbar[[External Factor]:[Worker]],3,FALSE)</f>
        <v>Petani;Petani/Nelayan;Pegawai Swasta-Pertanian;Wiraswasta-Pertanian</v>
      </c>
    </row>
    <row r="57" spans="1:3" hidden="1" x14ac:dyDescent="0.35">
      <c r="A57" s="6" t="s">
        <v>70</v>
      </c>
      <c r="B57" s="5">
        <v>1.5599999999999999E-2</v>
      </c>
      <c r="C57">
        <f>VLOOKUP(A57,DatabaseKalbar[[External Factor]:[Worker]],3,FALSE)</f>
        <v>0</v>
      </c>
    </row>
    <row r="58" spans="1:3" hidden="1" x14ac:dyDescent="0.35">
      <c r="A58" s="6" t="s">
        <v>68</v>
      </c>
      <c r="B58" s="5">
        <v>1.54E-2</v>
      </c>
      <c r="C58" t="str">
        <f>VLOOKUP(A58,DatabaseKalbar[[External Factor]:[Worker]],3,FALSE)</f>
        <v>Ojek; Pegawai Swasta</v>
      </c>
    </row>
    <row r="59" spans="1:3" hidden="1" x14ac:dyDescent="0.35">
      <c r="A59" s="4" t="s">
        <v>25</v>
      </c>
      <c r="B59" s="5">
        <v>0.4768</v>
      </c>
    </row>
    <row r="60" spans="1:3" hidden="1" x14ac:dyDescent="0.35">
      <c r="A60" s="6" t="s">
        <v>3</v>
      </c>
      <c r="B60" s="5">
        <v>0.1472</v>
      </c>
      <c r="C60" t="str">
        <f>VLOOKUP(A60,DatabaseKalbar[[External Factor]:[Worker]],3,FALSE)</f>
        <v>Petani;Petani/Nelayan;Pegawai Swasta-Pertanian;Wiraswasta-Pertanian;Nelayan</v>
      </c>
    </row>
    <row r="61" spans="1:3" hidden="1" x14ac:dyDescent="0.35">
      <c r="A61" s="6" t="s">
        <v>4</v>
      </c>
      <c r="B61" s="5">
        <v>0.11119999999999999</v>
      </c>
      <c r="C61" t="str">
        <f>VLOOKUP(A61,DatabaseKalbar[[External Factor]:[Worker]],3,FALSE)</f>
        <v>Petani;Petani/Nelayan;Pegawai Swasta-Pertanian;Wiraswasta-Pertanian</v>
      </c>
    </row>
    <row r="62" spans="1:3" hidden="1" x14ac:dyDescent="0.35">
      <c r="A62" s="6" t="s">
        <v>65</v>
      </c>
      <c r="B62" s="5">
        <v>9.1999999999999998E-2</v>
      </c>
      <c r="C62" t="str">
        <f>VLOOKUP(A62,DatabaseKalbar[[External Factor]:[Worker]],3,FALSE)</f>
        <v>Pegawai Swasta-Perdagangan;Wiraswasta/Pedagang;Wiraswasta-Perdagangan</v>
      </c>
    </row>
    <row r="63" spans="1:3" hidden="1" x14ac:dyDescent="0.35">
      <c r="A63" s="6" t="s">
        <v>69</v>
      </c>
      <c r="B63" s="5">
        <v>2.3400000000000001E-2</v>
      </c>
      <c r="C63" t="str">
        <f>VLOOKUP(A63,DatabaseKalbar[[External Factor]:[Worker]],3,FALSE)</f>
        <v>Pegawai Swasta;Pegawai Swasta-Industri;Wiraswasta-Industri</v>
      </c>
    </row>
    <row r="64" spans="1:3" hidden="1" x14ac:dyDescent="0.35">
      <c r="A64" s="6" t="s">
        <v>72</v>
      </c>
      <c r="B64" s="5">
        <v>1.9E-2</v>
      </c>
      <c r="C64" t="str">
        <f>VLOOKUP(A64,DatabaseKalbar[[External Factor]:[Worker]],3,FALSE)</f>
        <v>Pegawai Swasta-Konstruksi;Wiraswasta-Konstruksi</v>
      </c>
    </row>
    <row r="65" spans="1:3" hidden="1" x14ac:dyDescent="0.35">
      <c r="A65" s="6" t="s">
        <v>74</v>
      </c>
      <c r="B65" s="5">
        <v>1.84E-2</v>
      </c>
      <c r="C65" t="str">
        <f>VLOOKUP(A65,DatabaseKalbar[[External Factor]:[Worker]],3,FALSE)</f>
        <v>Pegawai Swasta;Pegawai Swasta-Industri;Wiraswasta-Industri</v>
      </c>
    </row>
    <row r="66" spans="1:3" hidden="1" x14ac:dyDescent="0.35">
      <c r="A66" s="6" t="s">
        <v>71</v>
      </c>
      <c r="B66" s="5">
        <v>1.8200000000000001E-2</v>
      </c>
      <c r="C66" t="str">
        <f>VLOOKUP(A66,DatabaseKalbar[[External Factor]:[Worker]],3,FALSE)</f>
        <v>Ojek; Pegawai Swasta</v>
      </c>
    </row>
    <row r="67" spans="1:3" hidden="1" x14ac:dyDescent="0.35">
      <c r="A67" s="6" t="s">
        <v>67</v>
      </c>
      <c r="B67" s="5">
        <v>1.6400000000000001E-2</v>
      </c>
      <c r="C67" t="str">
        <f>VLOOKUP(A67,DatabaseKalbar[[External Factor]:[Worker]],3,FALSE)</f>
        <v>Petani;Petani/Nelayan;Pegawai Swasta-Pertanian;Wiraswasta-Pertanian</v>
      </c>
    </row>
    <row r="68" spans="1:3" hidden="1" x14ac:dyDescent="0.35">
      <c r="A68" s="6" t="s">
        <v>70</v>
      </c>
      <c r="B68" s="5">
        <v>1.5599999999999999E-2</v>
      </c>
      <c r="C68">
        <f>VLOOKUP(A68,DatabaseKalbar[[External Factor]:[Worker]],3,FALSE)</f>
        <v>0</v>
      </c>
    </row>
    <row r="69" spans="1:3" hidden="1" x14ac:dyDescent="0.35">
      <c r="A69" s="6" t="s">
        <v>68</v>
      </c>
      <c r="B69" s="5">
        <v>1.54E-2</v>
      </c>
      <c r="C69" t="str">
        <f>VLOOKUP(A69,DatabaseKalbar[[External Factor]:[Worker]],3,FALSE)</f>
        <v>Ojek; Pegawai Swasta</v>
      </c>
    </row>
    <row r="70" spans="1:3" hidden="1" x14ac:dyDescent="0.35">
      <c r="A70" s="4" t="s">
        <v>27</v>
      </c>
      <c r="B70" s="5">
        <v>0.31359999999999999</v>
      </c>
    </row>
    <row r="71" spans="1:3" hidden="1" x14ac:dyDescent="0.35">
      <c r="A71" s="6" t="s">
        <v>4</v>
      </c>
      <c r="B71" s="5">
        <v>5.33E-2</v>
      </c>
      <c r="C71" t="str">
        <f>VLOOKUP(A71,DatabaseKalbar[[External Factor]:[Worker]],3,FALSE)</f>
        <v>Petani;Petani/Nelayan;Pegawai Swasta-Pertanian;Wiraswasta-Pertanian</v>
      </c>
    </row>
    <row r="72" spans="1:3" hidden="1" x14ac:dyDescent="0.35">
      <c r="A72" s="6" t="s">
        <v>65</v>
      </c>
      <c r="B72" s="5">
        <v>4.99E-2</v>
      </c>
      <c r="C72" t="str">
        <f>VLOOKUP(A72,DatabaseKalbar[[External Factor]:[Worker]],3,FALSE)</f>
        <v>Pegawai Swasta-Perdagangan;Wiraswasta/Pedagang;Wiraswasta-Perdagangan</v>
      </c>
    </row>
    <row r="73" spans="1:3" hidden="1" x14ac:dyDescent="0.35">
      <c r="A73" s="6" t="s">
        <v>3</v>
      </c>
      <c r="B73" s="5">
        <v>4.48E-2</v>
      </c>
      <c r="C73" t="str">
        <f>VLOOKUP(A73,DatabaseKalbar[[External Factor]:[Worker]],3,FALSE)</f>
        <v>Petani;Petani/Nelayan;Pegawai Swasta-Pertanian;Wiraswasta-Pertanian;Nelayan</v>
      </c>
    </row>
    <row r="74" spans="1:3" hidden="1" x14ac:dyDescent="0.35">
      <c r="A74" s="6" t="s">
        <v>75</v>
      </c>
      <c r="B74" s="5">
        <v>4.3499999999999997E-2</v>
      </c>
      <c r="C74" t="str">
        <f>VLOOKUP(A74,DatabaseKalbar[[External Factor]:[Worker]],3,FALSE)</f>
        <v>Pegawai Swasta-Konstruksi;Wiraswasta-Konstruksi</v>
      </c>
    </row>
    <row r="75" spans="1:3" hidden="1" x14ac:dyDescent="0.35">
      <c r="A75" s="6" t="s">
        <v>66</v>
      </c>
      <c r="B75" s="5">
        <v>2.6499999999999999E-2</v>
      </c>
      <c r="C75" t="str">
        <f>VLOOKUP(A75,DatabaseKalbar[[External Factor]:[Worker]],3,FALSE)</f>
        <v>Petani;Petani/Nelayan;Pegawai Swasta-Pertanian;Wiraswasta-Pertanian</v>
      </c>
    </row>
    <row r="76" spans="1:3" hidden="1" x14ac:dyDescent="0.35">
      <c r="A76" s="6" t="s">
        <v>67</v>
      </c>
      <c r="B76" s="5">
        <v>2.4199999999999999E-2</v>
      </c>
      <c r="C76" t="str">
        <f>VLOOKUP(A76,DatabaseKalbar[[External Factor]:[Worker]],3,FALSE)</f>
        <v>Petani;Petani/Nelayan;Pegawai Swasta-Pertanian;Wiraswasta-Pertanian</v>
      </c>
    </row>
    <row r="77" spans="1:3" hidden="1" x14ac:dyDescent="0.35">
      <c r="A77" s="6" t="s">
        <v>70</v>
      </c>
      <c r="B77" s="5">
        <v>2.4199999999999999E-2</v>
      </c>
      <c r="C77">
        <f>VLOOKUP(A77,DatabaseKalbar[[External Factor]:[Worker]],3,FALSE)</f>
        <v>0</v>
      </c>
    </row>
    <row r="78" spans="1:3" hidden="1" x14ac:dyDescent="0.35">
      <c r="A78" s="6" t="s">
        <v>13</v>
      </c>
      <c r="B78" s="5">
        <v>1.77E-2</v>
      </c>
      <c r="C78" t="str">
        <f>VLOOKUP(A78,DatabaseKalbar[[External Factor]:[Worker]],3,FALSE)</f>
        <v>Pegawai Swasta-Perdagangan;Wiraswasta/Pedagang;Wiraswasta-Perdagangan</v>
      </c>
    </row>
    <row r="79" spans="1:3" hidden="1" x14ac:dyDescent="0.35">
      <c r="A79" s="6" t="s">
        <v>71</v>
      </c>
      <c r="B79" s="5">
        <v>1.55E-2</v>
      </c>
      <c r="C79" t="str">
        <f>VLOOKUP(A79,DatabaseKalbar[[External Factor]:[Worker]],3,FALSE)</f>
        <v>Ojek; Pegawai Swasta</v>
      </c>
    </row>
    <row r="80" spans="1:3" hidden="1" x14ac:dyDescent="0.35">
      <c r="A80" s="6" t="s">
        <v>14</v>
      </c>
      <c r="B80" s="5">
        <v>1.4E-2</v>
      </c>
      <c r="C80" t="str">
        <f>VLOOKUP(A80,DatabaseKalbar[[External Factor]:[Worker]],3,FALSE)</f>
        <v>Pegawai Swasta-Perdagangan;Wiraswasta/Pedagang;Wiraswasta-Perdagangan</v>
      </c>
    </row>
    <row r="81" spans="1:3" hidden="1" x14ac:dyDescent="0.35">
      <c r="A81" s="4" t="s">
        <v>29</v>
      </c>
      <c r="B81" s="5">
        <v>0.33049999999999996</v>
      </c>
    </row>
    <row r="82" spans="1:3" hidden="1" x14ac:dyDescent="0.35">
      <c r="A82" s="6" t="s">
        <v>4</v>
      </c>
      <c r="B82" s="5">
        <v>7.1900000000000006E-2</v>
      </c>
      <c r="C82" t="str">
        <f>VLOOKUP(A82,DatabaseKalbar[[External Factor]:[Worker]],3,FALSE)</f>
        <v>Petani;Petani/Nelayan;Pegawai Swasta-Pertanian;Wiraswasta-Pertanian</v>
      </c>
    </row>
    <row r="83" spans="1:3" hidden="1" x14ac:dyDescent="0.35">
      <c r="A83" s="6" t="s">
        <v>3</v>
      </c>
      <c r="B83" s="5">
        <v>4.41E-2</v>
      </c>
      <c r="C83" t="str">
        <f>VLOOKUP(A83,DatabaseKalbar[[External Factor]:[Worker]],3,FALSE)</f>
        <v>Petani;Petani/Nelayan;Pegawai Swasta-Pertanian;Wiraswasta-Pertanian;Nelayan</v>
      </c>
    </row>
    <row r="84" spans="1:3" hidden="1" x14ac:dyDescent="0.35">
      <c r="A84" s="6" t="s">
        <v>65</v>
      </c>
      <c r="B84" s="5">
        <v>4.2900000000000001E-2</v>
      </c>
      <c r="C84" t="str">
        <f>VLOOKUP(A84,DatabaseKalbar[[External Factor]:[Worker]],3,FALSE)</f>
        <v>Pegawai Swasta-Perdagangan;Wiraswasta/Pedagang;Wiraswasta-Perdagangan</v>
      </c>
    </row>
    <row r="85" spans="1:3" hidden="1" x14ac:dyDescent="0.35">
      <c r="A85" s="6" t="s">
        <v>81</v>
      </c>
      <c r="B85" s="5">
        <v>3.0800000000000001E-2</v>
      </c>
      <c r="C85" t="e">
        <f>VLOOKUP(A85,DatabaseKalbar[[External Factor]:[Worker]],3,FALSE)</f>
        <v>#N/A</v>
      </c>
    </row>
    <row r="86" spans="1:3" hidden="1" x14ac:dyDescent="0.35">
      <c r="A86" s="6" t="s">
        <v>70</v>
      </c>
      <c r="B86" s="5">
        <v>3.04E-2</v>
      </c>
      <c r="C86">
        <f>VLOOKUP(A86,DatabaseKalbar[[External Factor]:[Worker]],3,FALSE)</f>
        <v>0</v>
      </c>
    </row>
    <row r="87" spans="1:3" hidden="1" x14ac:dyDescent="0.35">
      <c r="A87" s="6" t="s">
        <v>75</v>
      </c>
      <c r="B87" s="5">
        <v>3.0200000000000001E-2</v>
      </c>
      <c r="C87" t="str">
        <f>VLOOKUP(A87,DatabaseKalbar[[External Factor]:[Worker]],3,FALSE)</f>
        <v>Pegawai Swasta-Konstruksi;Wiraswasta-Konstruksi</v>
      </c>
    </row>
    <row r="88" spans="1:3" hidden="1" x14ac:dyDescent="0.35">
      <c r="A88" s="6" t="s">
        <v>13</v>
      </c>
      <c r="B88" s="5">
        <v>2.2100000000000002E-2</v>
      </c>
      <c r="C88" t="str">
        <f>VLOOKUP(A88,DatabaseKalbar[[External Factor]:[Worker]],3,FALSE)</f>
        <v>Pegawai Swasta-Perdagangan;Wiraswasta/Pedagang;Wiraswasta-Perdagangan</v>
      </c>
    </row>
    <row r="89" spans="1:3" hidden="1" x14ac:dyDescent="0.35">
      <c r="A89" s="6" t="s">
        <v>66</v>
      </c>
      <c r="B89" s="5">
        <v>2.1499999999999998E-2</v>
      </c>
      <c r="C89" t="str">
        <f>VLOOKUP(A89,DatabaseKalbar[[External Factor]:[Worker]],3,FALSE)</f>
        <v>Petani;Petani/Nelayan;Pegawai Swasta-Pertanian;Wiraswasta-Pertanian</v>
      </c>
    </row>
    <row r="90" spans="1:3" hidden="1" x14ac:dyDescent="0.35">
      <c r="A90" s="6" t="s">
        <v>71</v>
      </c>
      <c r="B90" s="5">
        <v>2.1100000000000001E-2</v>
      </c>
      <c r="C90" t="str">
        <f>VLOOKUP(A90,DatabaseKalbar[[External Factor]:[Worker]],3,FALSE)</f>
        <v>Ojek; Pegawai Swasta</v>
      </c>
    </row>
    <row r="91" spans="1:3" hidden="1" x14ac:dyDescent="0.35">
      <c r="A91" s="6" t="s">
        <v>67</v>
      </c>
      <c r="B91" s="5">
        <v>1.55E-2</v>
      </c>
      <c r="C91" t="str">
        <f>VLOOKUP(A91,DatabaseKalbar[[External Factor]:[Worker]],3,FALSE)</f>
        <v>Petani;Petani/Nelayan;Pegawai Swasta-Pertanian;Wiraswasta-Pertanian</v>
      </c>
    </row>
    <row r="92" spans="1:3" hidden="1" x14ac:dyDescent="0.35">
      <c r="A92" s="4" t="s">
        <v>31</v>
      </c>
      <c r="B92" s="5">
        <v>0.34670000000000001</v>
      </c>
    </row>
    <row r="93" spans="1:3" hidden="1" x14ac:dyDescent="0.35">
      <c r="A93" s="6" t="s">
        <v>65</v>
      </c>
      <c r="B93" s="5">
        <v>9.2100000000000001E-2</v>
      </c>
      <c r="C93" t="str">
        <f>VLOOKUP(A93,DatabaseKalbar[[External Factor]:[Worker]],3,FALSE)</f>
        <v>Pegawai Swasta-Perdagangan;Wiraswasta/Pedagang;Wiraswasta-Perdagangan</v>
      </c>
    </row>
    <row r="94" spans="1:3" hidden="1" x14ac:dyDescent="0.35">
      <c r="A94" s="6" t="s">
        <v>3</v>
      </c>
      <c r="B94" s="5">
        <v>0.08</v>
      </c>
      <c r="C94" t="str">
        <f>VLOOKUP(A94,DatabaseKalbar[[External Factor]:[Worker]],3,FALSE)</f>
        <v>Petani;Petani/Nelayan;Pegawai Swasta-Pertanian;Wiraswasta-Pertanian;Nelayan</v>
      </c>
    </row>
    <row r="95" spans="1:3" hidden="1" x14ac:dyDescent="0.35">
      <c r="A95" s="6" t="s">
        <v>4</v>
      </c>
      <c r="B95" s="5">
        <v>6.9099999999999995E-2</v>
      </c>
      <c r="C95" t="str">
        <f>VLOOKUP(A95,DatabaseKalbar[[External Factor]:[Worker]],3,FALSE)</f>
        <v>Petani;Petani/Nelayan;Pegawai Swasta-Pertanian;Wiraswasta-Pertanian</v>
      </c>
    </row>
    <row r="96" spans="1:3" hidden="1" x14ac:dyDescent="0.35">
      <c r="A96" s="6" t="s">
        <v>75</v>
      </c>
      <c r="B96" s="5">
        <v>2.7099999999999999E-2</v>
      </c>
      <c r="C96" t="str">
        <f>VLOOKUP(A96,DatabaseKalbar[[External Factor]:[Worker]],3,FALSE)</f>
        <v>Pegawai Swasta-Konstruksi;Wiraswasta-Konstruksi</v>
      </c>
    </row>
    <row r="97" spans="1:3" hidden="1" x14ac:dyDescent="0.35">
      <c r="A97" s="6" t="s">
        <v>13</v>
      </c>
      <c r="B97" s="5">
        <v>2.2700000000000001E-2</v>
      </c>
      <c r="C97" t="str">
        <f>VLOOKUP(A97,DatabaseKalbar[[External Factor]:[Worker]],3,FALSE)</f>
        <v>Pegawai Swasta-Perdagangan;Wiraswasta/Pedagang;Wiraswasta-Perdagangan</v>
      </c>
    </row>
    <row r="98" spans="1:3" hidden="1" x14ac:dyDescent="0.35">
      <c r="A98" s="6" t="s">
        <v>14</v>
      </c>
      <c r="B98" s="5">
        <v>1.3100000000000001E-2</v>
      </c>
      <c r="C98" t="str">
        <f>VLOOKUP(A98,DatabaseKalbar[[External Factor]:[Worker]],3,FALSE)</f>
        <v>Pegawai Swasta-Perdagangan;Wiraswasta/Pedagang;Wiraswasta-Perdagangan</v>
      </c>
    </row>
    <row r="99" spans="1:3" hidden="1" x14ac:dyDescent="0.35">
      <c r="A99" s="6" t="s">
        <v>71</v>
      </c>
      <c r="B99" s="5">
        <v>1.18E-2</v>
      </c>
      <c r="C99" t="str">
        <f>VLOOKUP(A99,DatabaseKalbar[[External Factor]:[Worker]],3,FALSE)</f>
        <v>Ojek; Pegawai Swasta</v>
      </c>
    </row>
    <row r="100" spans="1:3" hidden="1" x14ac:dyDescent="0.35">
      <c r="A100" s="6" t="s">
        <v>69</v>
      </c>
      <c r="B100" s="5">
        <v>1.09E-2</v>
      </c>
      <c r="C100" t="str">
        <f>VLOOKUP(A100,DatabaseKalbar[[External Factor]:[Worker]],3,FALSE)</f>
        <v>Pegawai Swasta;Pegawai Swasta-Industri;Wiraswasta-Industri</v>
      </c>
    </row>
    <row r="101" spans="1:3" hidden="1" x14ac:dyDescent="0.35">
      <c r="A101" s="6" t="s">
        <v>68</v>
      </c>
      <c r="B101" s="5">
        <v>1.0800000000000001E-2</v>
      </c>
      <c r="C101" t="str">
        <f>VLOOKUP(A101,DatabaseKalbar[[External Factor]:[Worker]],3,FALSE)</f>
        <v>Ojek; Pegawai Swasta</v>
      </c>
    </row>
    <row r="102" spans="1:3" hidden="1" x14ac:dyDescent="0.35">
      <c r="A102" s="6" t="s">
        <v>70</v>
      </c>
      <c r="B102" s="5">
        <v>9.1000000000000004E-3</v>
      </c>
      <c r="C102">
        <f>VLOOKUP(A102,DatabaseKalbar[[External Factor]:[Worker]],3,FALSE)</f>
        <v>0</v>
      </c>
    </row>
    <row r="103" spans="1:3" hidden="1" x14ac:dyDescent="0.35">
      <c r="A103" s="4" t="s">
        <v>33</v>
      </c>
      <c r="B103" s="5">
        <v>0.41809999999999997</v>
      </c>
    </row>
    <row r="104" spans="1:3" hidden="1" x14ac:dyDescent="0.35">
      <c r="A104" s="6" t="s">
        <v>3</v>
      </c>
      <c r="B104" s="5">
        <v>0.1019</v>
      </c>
      <c r="C104" t="str">
        <f>VLOOKUP(A104,DatabaseKalbar[[External Factor]:[Worker]],3,FALSE)</f>
        <v>Petani;Petani/Nelayan;Pegawai Swasta-Pertanian;Wiraswasta-Pertanian;Nelayan</v>
      </c>
    </row>
    <row r="105" spans="1:3" hidden="1" x14ac:dyDescent="0.35">
      <c r="A105" s="6" t="s">
        <v>4</v>
      </c>
      <c r="B105" s="5">
        <v>8.09E-2</v>
      </c>
      <c r="C105" t="str">
        <f>VLOOKUP(A105,DatabaseKalbar[[External Factor]:[Worker]],3,FALSE)</f>
        <v>Petani;Petani/Nelayan;Pegawai Swasta-Pertanian;Wiraswasta-Pertanian</v>
      </c>
    </row>
    <row r="106" spans="1:3" hidden="1" x14ac:dyDescent="0.35">
      <c r="A106" s="6" t="s">
        <v>65</v>
      </c>
      <c r="B106" s="5">
        <v>6.5199999999999994E-2</v>
      </c>
      <c r="C106" t="str">
        <f>VLOOKUP(A106,DatabaseKalbar[[External Factor]:[Worker]],3,FALSE)</f>
        <v>Pegawai Swasta-Perdagangan;Wiraswasta/Pedagang;Wiraswasta-Perdagangan</v>
      </c>
    </row>
    <row r="107" spans="1:3" hidden="1" x14ac:dyDescent="0.35">
      <c r="A107" s="6" t="s">
        <v>67</v>
      </c>
      <c r="B107" s="5">
        <v>5.3699999999999998E-2</v>
      </c>
      <c r="C107" t="str">
        <f>VLOOKUP(A107,DatabaseKalbar[[External Factor]:[Worker]],3,FALSE)</f>
        <v>Petani;Petani/Nelayan;Pegawai Swasta-Pertanian;Wiraswasta-Pertanian</v>
      </c>
    </row>
    <row r="108" spans="1:3" hidden="1" x14ac:dyDescent="0.35">
      <c r="A108" s="6" t="s">
        <v>66</v>
      </c>
      <c r="B108" s="5">
        <v>4.5600000000000002E-2</v>
      </c>
      <c r="C108" t="str">
        <f>VLOOKUP(A108,DatabaseKalbar[[External Factor]:[Worker]],3,FALSE)</f>
        <v>Petani;Petani/Nelayan;Pegawai Swasta-Pertanian;Wiraswasta-Pertanian</v>
      </c>
    </row>
    <row r="109" spans="1:3" hidden="1" x14ac:dyDescent="0.35">
      <c r="A109" s="6" t="s">
        <v>71</v>
      </c>
      <c r="B109" s="5">
        <v>1.89E-2</v>
      </c>
      <c r="C109" t="str">
        <f>VLOOKUP(A109,DatabaseKalbar[[External Factor]:[Worker]],3,FALSE)</f>
        <v>Ojek; Pegawai Swasta</v>
      </c>
    </row>
    <row r="110" spans="1:3" hidden="1" x14ac:dyDescent="0.35">
      <c r="A110" s="6" t="s">
        <v>69</v>
      </c>
      <c r="B110" s="5">
        <v>1.6500000000000001E-2</v>
      </c>
      <c r="C110" t="str">
        <f>VLOOKUP(A110,DatabaseKalbar[[External Factor]:[Worker]],3,FALSE)</f>
        <v>Pegawai Swasta;Pegawai Swasta-Industri;Wiraswasta-Industri</v>
      </c>
    </row>
    <row r="111" spans="1:3" hidden="1" x14ac:dyDescent="0.35">
      <c r="A111" s="6" t="s">
        <v>70</v>
      </c>
      <c r="B111" s="5">
        <v>1.29E-2</v>
      </c>
      <c r="C111">
        <f>VLOOKUP(A111,DatabaseKalbar[[External Factor]:[Worker]],3,FALSE)</f>
        <v>0</v>
      </c>
    </row>
    <row r="112" spans="1:3" hidden="1" x14ac:dyDescent="0.35">
      <c r="A112" s="6" t="s">
        <v>74</v>
      </c>
      <c r="B112" s="5">
        <v>1.2E-2</v>
      </c>
      <c r="C112" t="str">
        <f>VLOOKUP(A112,DatabaseKalbar[[External Factor]:[Worker]],3,FALSE)</f>
        <v>Pegawai Swasta;Pegawai Swasta-Industri;Wiraswasta-Industri</v>
      </c>
    </row>
    <row r="113" spans="1:3" hidden="1" x14ac:dyDescent="0.35">
      <c r="A113" s="6" t="s">
        <v>72</v>
      </c>
      <c r="B113" s="5">
        <v>1.0500000000000001E-2</v>
      </c>
      <c r="C113" t="str">
        <f>VLOOKUP(A113,DatabaseKalbar[[External Factor]:[Worker]],3,FALSE)</f>
        <v>Pegawai Swasta-Konstruksi;Wiraswasta-Konstruksi</v>
      </c>
    </row>
    <row r="114" spans="1:3" hidden="1" x14ac:dyDescent="0.35">
      <c r="A114" s="4" t="s">
        <v>35</v>
      </c>
      <c r="B114" s="5">
        <v>0.41809999999999997</v>
      </c>
    </row>
    <row r="115" spans="1:3" hidden="1" x14ac:dyDescent="0.35">
      <c r="A115" s="6" t="s">
        <v>3</v>
      </c>
      <c r="B115" s="5">
        <v>0.1019</v>
      </c>
      <c r="C115" t="str">
        <f>VLOOKUP(A115,DatabaseKalbar[[External Factor]:[Worker]],3,FALSE)</f>
        <v>Petani;Petani/Nelayan;Pegawai Swasta-Pertanian;Wiraswasta-Pertanian;Nelayan</v>
      </c>
    </row>
    <row r="116" spans="1:3" hidden="1" x14ac:dyDescent="0.35">
      <c r="A116" s="6" t="s">
        <v>4</v>
      </c>
      <c r="B116" s="5">
        <v>8.09E-2</v>
      </c>
      <c r="C116" t="str">
        <f>VLOOKUP(A116,DatabaseKalbar[[External Factor]:[Worker]],3,FALSE)</f>
        <v>Petani;Petani/Nelayan;Pegawai Swasta-Pertanian;Wiraswasta-Pertanian</v>
      </c>
    </row>
    <row r="117" spans="1:3" hidden="1" x14ac:dyDescent="0.35">
      <c r="A117" s="6" t="s">
        <v>65</v>
      </c>
      <c r="B117" s="5">
        <v>6.5199999999999994E-2</v>
      </c>
      <c r="C117" t="str">
        <f>VLOOKUP(A117,DatabaseKalbar[[External Factor]:[Worker]],3,FALSE)</f>
        <v>Pegawai Swasta-Perdagangan;Wiraswasta/Pedagang;Wiraswasta-Perdagangan</v>
      </c>
    </row>
    <row r="118" spans="1:3" hidden="1" x14ac:dyDescent="0.35">
      <c r="A118" s="6" t="s">
        <v>67</v>
      </c>
      <c r="B118" s="5">
        <v>5.3699999999999998E-2</v>
      </c>
      <c r="C118" t="str">
        <f>VLOOKUP(A118,DatabaseKalbar[[External Factor]:[Worker]],3,FALSE)</f>
        <v>Petani;Petani/Nelayan;Pegawai Swasta-Pertanian;Wiraswasta-Pertanian</v>
      </c>
    </row>
    <row r="119" spans="1:3" hidden="1" x14ac:dyDescent="0.35">
      <c r="A119" s="6" t="s">
        <v>66</v>
      </c>
      <c r="B119" s="5">
        <v>4.5600000000000002E-2</v>
      </c>
      <c r="C119" t="str">
        <f>VLOOKUP(A119,DatabaseKalbar[[External Factor]:[Worker]],3,FALSE)</f>
        <v>Petani;Petani/Nelayan;Pegawai Swasta-Pertanian;Wiraswasta-Pertanian</v>
      </c>
    </row>
    <row r="120" spans="1:3" hidden="1" x14ac:dyDescent="0.35">
      <c r="A120" s="6" t="s">
        <v>71</v>
      </c>
      <c r="B120" s="5">
        <v>1.89E-2</v>
      </c>
      <c r="C120" t="str">
        <f>VLOOKUP(A120,DatabaseKalbar[[External Factor]:[Worker]],3,FALSE)</f>
        <v>Ojek; Pegawai Swasta</v>
      </c>
    </row>
    <row r="121" spans="1:3" hidden="1" x14ac:dyDescent="0.35">
      <c r="A121" s="6" t="s">
        <v>69</v>
      </c>
      <c r="B121" s="5">
        <v>1.6500000000000001E-2</v>
      </c>
      <c r="C121" t="str">
        <f>VLOOKUP(A121,DatabaseKalbar[[External Factor]:[Worker]],3,FALSE)</f>
        <v>Pegawai Swasta;Pegawai Swasta-Industri;Wiraswasta-Industri</v>
      </c>
    </row>
    <row r="122" spans="1:3" hidden="1" x14ac:dyDescent="0.35">
      <c r="A122" s="6" t="s">
        <v>70</v>
      </c>
      <c r="B122" s="5">
        <v>1.29E-2</v>
      </c>
      <c r="C122">
        <f>VLOOKUP(A122,DatabaseKalbar[[External Factor]:[Worker]],3,FALSE)</f>
        <v>0</v>
      </c>
    </row>
    <row r="123" spans="1:3" hidden="1" x14ac:dyDescent="0.35">
      <c r="A123" s="6" t="s">
        <v>74</v>
      </c>
      <c r="B123" s="5">
        <v>1.2E-2</v>
      </c>
      <c r="C123" t="str">
        <f>VLOOKUP(A123,DatabaseKalbar[[External Factor]:[Worker]],3,FALSE)</f>
        <v>Pegawai Swasta;Pegawai Swasta-Industri;Wiraswasta-Industri</v>
      </c>
    </row>
    <row r="124" spans="1:3" hidden="1" x14ac:dyDescent="0.35">
      <c r="A124" s="6" t="s">
        <v>72</v>
      </c>
      <c r="B124" s="5">
        <v>1.0500000000000001E-2</v>
      </c>
      <c r="C124" t="str">
        <f>VLOOKUP(A124,DatabaseKalbar[[External Factor]:[Worker]],3,FALSE)</f>
        <v>Pegawai Swasta-Konstruksi;Wiraswasta-Konstruksi</v>
      </c>
    </row>
    <row r="125" spans="1:3" hidden="1" x14ac:dyDescent="0.35">
      <c r="A125" s="4" t="s">
        <v>36</v>
      </c>
      <c r="B125" s="5">
        <v>0.63449999999999995</v>
      </c>
    </row>
    <row r="126" spans="1:3" hidden="1" x14ac:dyDescent="0.35">
      <c r="A126" s="6" t="s">
        <v>4</v>
      </c>
      <c r="B126" s="5">
        <v>0.15909999999999999</v>
      </c>
      <c r="C126" t="str">
        <f>VLOOKUP(A126,DatabaseKalbar[[External Factor]:[Worker]],3,FALSE)</f>
        <v>Petani;Petani/Nelayan;Pegawai Swasta-Pertanian;Wiraswasta-Pertanian</v>
      </c>
    </row>
    <row r="127" spans="1:3" hidden="1" x14ac:dyDescent="0.35">
      <c r="A127" s="6" t="s">
        <v>3</v>
      </c>
      <c r="B127" s="5">
        <v>0.1191</v>
      </c>
      <c r="C127" t="str">
        <f>VLOOKUP(A127,DatabaseKalbar[[External Factor]:[Worker]],3,FALSE)</f>
        <v>Petani;Petani/Nelayan;Pegawai Swasta-Pertanian;Wiraswasta-Pertanian;Nelayan</v>
      </c>
    </row>
    <row r="128" spans="1:3" hidden="1" x14ac:dyDescent="0.35">
      <c r="A128" s="6" t="s">
        <v>65</v>
      </c>
      <c r="B128" s="5">
        <v>0.1191</v>
      </c>
      <c r="C128" t="str">
        <f>VLOOKUP(A128,DatabaseKalbar[[External Factor]:[Worker]],3,FALSE)</f>
        <v>Pegawai Swasta-Perdagangan;Wiraswasta/Pedagang;Wiraswasta-Perdagangan</v>
      </c>
    </row>
    <row r="129" spans="1:3" hidden="1" x14ac:dyDescent="0.35">
      <c r="A129" s="6" t="s">
        <v>71</v>
      </c>
      <c r="B129" s="5">
        <v>5.3400000000000003E-2</v>
      </c>
      <c r="C129" t="str">
        <f>VLOOKUP(A129,DatabaseKalbar[[External Factor]:[Worker]],3,FALSE)</f>
        <v>Ojek; Pegawai Swasta</v>
      </c>
    </row>
    <row r="130" spans="1:3" hidden="1" x14ac:dyDescent="0.35">
      <c r="A130" s="6" t="s">
        <v>68</v>
      </c>
      <c r="B130" s="5">
        <v>3.9E-2</v>
      </c>
      <c r="C130" t="str">
        <f>VLOOKUP(A130,DatabaseKalbar[[External Factor]:[Worker]],3,FALSE)</f>
        <v>Ojek; Pegawai Swasta</v>
      </c>
    </row>
    <row r="131" spans="1:3" hidden="1" x14ac:dyDescent="0.35">
      <c r="A131" s="6" t="s">
        <v>69</v>
      </c>
      <c r="B131" s="5">
        <v>3.39E-2</v>
      </c>
      <c r="C131" t="str">
        <f>VLOOKUP(A131,DatabaseKalbar[[External Factor]:[Worker]],3,FALSE)</f>
        <v>Pegawai Swasta;Pegawai Swasta-Industri;Wiraswasta-Industri</v>
      </c>
    </row>
    <row r="132" spans="1:3" hidden="1" x14ac:dyDescent="0.35">
      <c r="A132" s="6" t="s">
        <v>14</v>
      </c>
      <c r="B132" s="5">
        <v>2.98E-2</v>
      </c>
      <c r="C132" t="str">
        <f>VLOOKUP(A132,DatabaseKalbar[[External Factor]:[Worker]],3,FALSE)</f>
        <v>Pegawai Swasta-Perdagangan;Wiraswasta/Pedagang;Wiraswasta-Perdagangan</v>
      </c>
    </row>
    <row r="133" spans="1:3" hidden="1" x14ac:dyDescent="0.35">
      <c r="A133" s="6" t="s">
        <v>13</v>
      </c>
      <c r="B133" s="5">
        <v>2.7699999999999999E-2</v>
      </c>
      <c r="C133" t="str">
        <f>VLOOKUP(A133,DatabaseKalbar[[External Factor]:[Worker]],3,FALSE)</f>
        <v>Pegawai Swasta-Perdagangan;Wiraswasta/Pedagang;Wiraswasta-Perdagangan</v>
      </c>
    </row>
    <row r="134" spans="1:3" hidden="1" x14ac:dyDescent="0.35">
      <c r="A134" s="6" t="s">
        <v>74</v>
      </c>
      <c r="B134" s="5">
        <v>2.7699999999999999E-2</v>
      </c>
      <c r="C134" t="str">
        <f>VLOOKUP(A134,DatabaseKalbar[[External Factor]:[Worker]],3,FALSE)</f>
        <v>Pegawai Swasta;Pegawai Swasta-Industri;Wiraswasta-Industri</v>
      </c>
    </row>
    <row r="135" spans="1:3" hidden="1" x14ac:dyDescent="0.35">
      <c r="A135" s="6" t="s">
        <v>67</v>
      </c>
      <c r="B135" s="5">
        <v>2.5700000000000001E-2</v>
      </c>
      <c r="C135" t="str">
        <f>VLOOKUP(A135,DatabaseKalbar[[External Factor]:[Worker]],3,FALSE)</f>
        <v>Petani;Petani/Nelayan;Pegawai Swasta-Pertanian;Wiraswasta-Pertanian</v>
      </c>
    </row>
    <row r="136" spans="1:3" hidden="1" x14ac:dyDescent="0.35">
      <c r="A136" s="4" t="s">
        <v>38</v>
      </c>
      <c r="B136" s="5">
        <v>0.41809999999999997</v>
      </c>
    </row>
    <row r="137" spans="1:3" hidden="1" x14ac:dyDescent="0.35">
      <c r="A137" s="6" t="s">
        <v>3</v>
      </c>
      <c r="B137" s="5">
        <v>0.1019</v>
      </c>
      <c r="C137" t="str">
        <f>VLOOKUP(A137,DatabaseKalbar[[External Factor]:[Worker]],3,FALSE)</f>
        <v>Petani;Petani/Nelayan;Pegawai Swasta-Pertanian;Wiraswasta-Pertanian;Nelayan</v>
      </c>
    </row>
    <row r="138" spans="1:3" hidden="1" x14ac:dyDescent="0.35">
      <c r="A138" s="6" t="s">
        <v>4</v>
      </c>
      <c r="B138" s="5">
        <v>8.09E-2</v>
      </c>
      <c r="C138" t="str">
        <f>VLOOKUP(A138,DatabaseKalbar[[External Factor]:[Worker]],3,FALSE)</f>
        <v>Petani;Petani/Nelayan;Pegawai Swasta-Pertanian;Wiraswasta-Pertanian</v>
      </c>
    </row>
    <row r="139" spans="1:3" hidden="1" x14ac:dyDescent="0.35">
      <c r="A139" s="6" t="s">
        <v>65</v>
      </c>
      <c r="B139" s="5">
        <v>6.5199999999999994E-2</v>
      </c>
      <c r="C139" t="str">
        <f>VLOOKUP(A139,DatabaseKalbar[[External Factor]:[Worker]],3,FALSE)</f>
        <v>Pegawai Swasta-Perdagangan;Wiraswasta/Pedagang;Wiraswasta-Perdagangan</v>
      </c>
    </row>
    <row r="140" spans="1:3" hidden="1" x14ac:dyDescent="0.35">
      <c r="A140" s="6" t="s">
        <v>67</v>
      </c>
      <c r="B140" s="5">
        <v>5.3699999999999998E-2</v>
      </c>
      <c r="C140" t="str">
        <f>VLOOKUP(A140,DatabaseKalbar[[External Factor]:[Worker]],3,FALSE)</f>
        <v>Petani;Petani/Nelayan;Pegawai Swasta-Pertanian;Wiraswasta-Pertanian</v>
      </c>
    </row>
    <row r="141" spans="1:3" hidden="1" x14ac:dyDescent="0.35">
      <c r="A141" s="6" t="s">
        <v>66</v>
      </c>
      <c r="B141" s="5">
        <v>4.5600000000000002E-2</v>
      </c>
      <c r="C141" t="str">
        <f>VLOOKUP(A141,DatabaseKalbar[[External Factor]:[Worker]],3,FALSE)</f>
        <v>Petani;Petani/Nelayan;Pegawai Swasta-Pertanian;Wiraswasta-Pertanian</v>
      </c>
    </row>
    <row r="142" spans="1:3" hidden="1" x14ac:dyDescent="0.35">
      <c r="A142" s="6" t="s">
        <v>71</v>
      </c>
      <c r="B142" s="5">
        <v>1.89E-2</v>
      </c>
      <c r="C142" t="str">
        <f>VLOOKUP(A142,DatabaseKalbar[[External Factor]:[Worker]],3,FALSE)</f>
        <v>Ojek; Pegawai Swasta</v>
      </c>
    </row>
    <row r="143" spans="1:3" hidden="1" x14ac:dyDescent="0.35">
      <c r="A143" s="6" t="s">
        <v>69</v>
      </c>
      <c r="B143" s="5">
        <v>1.6500000000000001E-2</v>
      </c>
      <c r="C143" t="str">
        <f>VLOOKUP(A143,DatabaseKalbar[[External Factor]:[Worker]],3,FALSE)</f>
        <v>Pegawai Swasta;Pegawai Swasta-Industri;Wiraswasta-Industri</v>
      </c>
    </row>
    <row r="144" spans="1:3" hidden="1" x14ac:dyDescent="0.35">
      <c r="A144" s="6" t="s">
        <v>70</v>
      </c>
      <c r="B144" s="5">
        <v>1.29E-2</v>
      </c>
      <c r="C144">
        <f>VLOOKUP(A144,DatabaseKalbar[[External Factor]:[Worker]],3,FALSE)</f>
        <v>0</v>
      </c>
    </row>
    <row r="145" spans="1:3" hidden="1" x14ac:dyDescent="0.35">
      <c r="A145" s="6" t="s">
        <v>74</v>
      </c>
      <c r="B145" s="5">
        <v>1.2E-2</v>
      </c>
      <c r="C145" t="str">
        <f>VLOOKUP(A145,DatabaseKalbar[[External Factor]:[Worker]],3,FALSE)</f>
        <v>Pegawai Swasta;Pegawai Swasta-Industri;Wiraswasta-Industri</v>
      </c>
    </row>
    <row r="146" spans="1:3" hidden="1" x14ac:dyDescent="0.35">
      <c r="A146" s="6" t="s">
        <v>72</v>
      </c>
      <c r="B146" s="5">
        <v>1.0500000000000001E-2</v>
      </c>
      <c r="C146" t="str">
        <f>VLOOKUP(A146,DatabaseKalbar[[External Factor]:[Worker]],3,FALSE)</f>
        <v>Pegawai Swasta-Konstruksi;Wiraswasta-Konstruksi</v>
      </c>
    </row>
    <row r="147" spans="1:3" hidden="1" x14ac:dyDescent="0.35">
      <c r="A147" s="4" t="s">
        <v>39</v>
      </c>
      <c r="B147" s="5">
        <v>0.47559999999999997</v>
      </c>
    </row>
    <row r="148" spans="1:3" hidden="1" x14ac:dyDescent="0.35">
      <c r="A148" s="6" t="s">
        <v>66</v>
      </c>
      <c r="B148" s="5">
        <v>0.15179999999999999</v>
      </c>
      <c r="C148" t="str">
        <f>VLOOKUP(A148,DatabaseKalbar[[External Factor]:[Worker]],3,FALSE)</f>
        <v>Petani;Petani/Nelayan;Pegawai Swasta-Pertanian;Wiraswasta-Pertanian</v>
      </c>
    </row>
    <row r="149" spans="1:3" hidden="1" x14ac:dyDescent="0.35">
      <c r="A149" s="6" t="s">
        <v>3</v>
      </c>
      <c r="B149" s="5">
        <v>7.9899999999999999E-2</v>
      </c>
      <c r="C149" t="str">
        <f>VLOOKUP(A149,DatabaseKalbar[[External Factor]:[Worker]],3,FALSE)</f>
        <v>Petani;Petani/Nelayan;Pegawai Swasta-Pertanian;Wiraswasta-Pertanian;Nelayan</v>
      </c>
    </row>
    <row r="150" spans="1:3" hidden="1" x14ac:dyDescent="0.35">
      <c r="A150" s="6" t="s">
        <v>4</v>
      </c>
      <c r="B150" s="5">
        <v>6.83E-2</v>
      </c>
      <c r="C150" t="str">
        <f>VLOOKUP(A150,DatabaseKalbar[[External Factor]:[Worker]],3,FALSE)</f>
        <v>Petani;Petani/Nelayan;Pegawai Swasta-Pertanian;Wiraswasta-Pertanian</v>
      </c>
    </row>
    <row r="151" spans="1:3" hidden="1" x14ac:dyDescent="0.35">
      <c r="A151" s="6" t="s">
        <v>65</v>
      </c>
      <c r="B151" s="5">
        <v>6.6100000000000006E-2</v>
      </c>
      <c r="C151" t="str">
        <f>VLOOKUP(A151,DatabaseKalbar[[External Factor]:[Worker]],3,FALSE)</f>
        <v>Pegawai Swasta-Perdagangan;Wiraswasta/Pedagang;Wiraswasta-Perdagangan</v>
      </c>
    </row>
    <row r="152" spans="1:3" hidden="1" x14ac:dyDescent="0.35">
      <c r="A152" s="6" t="s">
        <v>67</v>
      </c>
      <c r="B152" s="5">
        <v>3.9E-2</v>
      </c>
      <c r="C152" t="str">
        <f>VLOOKUP(A152,DatabaseKalbar[[External Factor]:[Worker]],3,FALSE)</f>
        <v>Petani;Petani/Nelayan;Pegawai Swasta-Pertanian;Wiraswasta-Pertanian</v>
      </c>
    </row>
    <row r="153" spans="1:3" hidden="1" x14ac:dyDescent="0.35">
      <c r="A153" s="6" t="s">
        <v>71</v>
      </c>
      <c r="B153" s="5">
        <v>1.66E-2</v>
      </c>
      <c r="C153" t="str">
        <f>VLOOKUP(A153,DatabaseKalbar[[External Factor]:[Worker]],3,FALSE)</f>
        <v>Ojek; Pegawai Swasta</v>
      </c>
    </row>
    <row r="154" spans="1:3" hidden="1" x14ac:dyDescent="0.35">
      <c r="A154" s="6" t="s">
        <v>70</v>
      </c>
      <c r="B154" s="5">
        <v>1.52E-2</v>
      </c>
      <c r="C154">
        <f>VLOOKUP(A154,DatabaseKalbar[[External Factor]:[Worker]],3,FALSE)</f>
        <v>0</v>
      </c>
    </row>
    <row r="155" spans="1:3" hidden="1" x14ac:dyDescent="0.35">
      <c r="A155" s="6" t="s">
        <v>69</v>
      </c>
      <c r="B155" s="5">
        <v>1.52E-2</v>
      </c>
      <c r="C155" t="str">
        <f>VLOOKUP(A155,DatabaseKalbar[[External Factor]:[Worker]],3,FALSE)</f>
        <v>Pegawai Swasta;Pegawai Swasta-Industri;Wiraswasta-Industri</v>
      </c>
    </row>
    <row r="156" spans="1:3" hidden="1" x14ac:dyDescent="0.35">
      <c r="A156" s="6" t="s">
        <v>68</v>
      </c>
      <c r="B156" s="5">
        <v>1.2200000000000001E-2</v>
      </c>
      <c r="C156" t="str">
        <f>VLOOKUP(A156,DatabaseKalbar[[External Factor]:[Worker]],3,FALSE)</f>
        <v>Ojek; Pegawai Swasta</v>
      </c>
    </row>
    <row r="157" spans="1:3" hidden="1" x14ac:dyDescent="0.35">
      <c r="A157" s="6" t="s">
        <v>14</v>
      </c>
      <c r="B157" s="5">
        <v>1.1299999999999999E-2</v>
      </c>
      <c r="C157" t="str">
        <f>VLOOKUP(A157,DatabaseKalbar[[External Factor]:[Worker]],3,FALSE)</f>
        <v>Pegawai Swasta-Perdagangan;Wiraswasta/Pedagang;Wiraswasta-Perdagangan</v>
      </c>
    </row>
    <row r="158" spans="1:3" x14ac:dyDescent="0.35">
      <c r="A158" s="4" t="s">
        <v>41</v>
      </c>
      <c r="B158" s="5">
        <v>0.63580000000000003</v>
      </c>
    </row>
    <row r="159" spans="1:3" x14ac:dyDescent="0.35">
      <c r="A159" s="6" t="s">
        <v>65</v>
      </c>
      <c r="B159" s="5">
        <v>0.1177</v>
      </c>
      <c r="C159" t="str">
        <f>VLOOKUP(A159,DatabaseKalbar[[External Factor]:[Worker]],3,FALSE)</f>
        <v>Pegawai Swasta-Perdagangan;Wiraswasta/Pedagang;Wiraswasta-Perdagangan</v>
      </c>
    </row>
    <row r="160" spans="1:3" x14ac:dyDescent="0.35">
      <c r="A160" s="6" t="s">
        <v>4</v>
      </c>
      <c r="B160" s="5">
        <v>9.8299999999999998E-2</v>
      </c>
      <c r="C160" t="str">
        <f>VLOOKUP(A160,DatabaseKalbar[[External Factor]:[Worker]],3,FALSE)</f>
        <v>Petani;Petani/Nelayan;Pegawai Swasta-Pertanian;Wiraswasta-Pertanian</v>
      </c>
    </row>
    <row r="161" spans="1:3" x14ac:dyDescent="0.35">
      <c r="A161" s="6" t="s">
        <v>3</v>
      </c>
      <c r="B161" s="5">
        <v>9.6299999999999997E-2</v>
      </c>
      <c r="C161" t="str">
        <f>VLOOKUP(A161,DatabaseKalbar[[External Factor]:[Worker]],3,FALSE)</f>
        <v>Petani;Petani/Nelayan;Pegawai Swasta-Pertanian;Wiraswasta-Pertanian;Nelayan</v>
      </c>
    </row>
    <row r="162" spans="1:3" x14ac:dyDescent="0.35">
      <c r="A162" s="6" t="s">
        <v>71</v>
      </c>
      <c r="B162" s="5">
        <v>6.0299999999999999E-2</v>
      </c>
      <c r="C162" t="str">
        <f>VLOOKUP(A162,DatabaseKalbar[[External Factor]:[Worker]],3,FALSE)</f>
        <v>Ojek; Pegawai Swasta</v>
      </c>
    </row>
    <row r="163" spans="1:3" x14ac:dyDescent="0.35">
      <c r="A163" s="6" t="s">
        <v>69</v>
      </c>
      <c r="B163" s="5">
        <v>5.8299999999999998E-2</v>
      </c>
      <c r="C163" t="str">
        <f>VLOOKUP(A163,DatabaseKalbar[[External Factor]:[Worker]],3,FALSE)</f>
        <v>Pegawai Swasta;Pegawai Swasta-Industri;Wiraswasta-Industri</v>
      </c>
    </row>
    <row r="164" spans="1:3" x14ac:dyDescent="0.35">
      <c r="A164" s="6" t="s">
        <v>68</v>
      </c>
      <c r="B164" s="5">
        <v>4.6300000000000001E-2</v>
      </c>
      <c r="C164" t="str">
        <f>VLOOKUP(A164,DatabaseKalbar[[External Factor]:[Worker]],3,FALSE)</f>
        <v>Ojek; Pegawai Swasta</v>
      </c>
    </row>
    <row r="165" spans="1:3" x14ac:dyDescent="0.35">
      <c r="A165" s="6" t="s">
        <v>70</v>
      </c>
      <c r="B165" s="5">
        <v>4.1700000000000001E-2</v>
      </c>
      <c r="C165">
        <f>VLOOKUP(A165,DatabaseKalbar[[External Factor]:[Worker]],3,FALSE)</f>
        <v>0</v>
      </c>
    </row>
    <row r="166" spans="1:3" x14ac:dyDescent="0.35">
      <c r="A166" s="6" t="s">
        <v>72</v>
      </c>
      <c r="B166" s="5">
        <v>4.0300000000000002E-2</v>
      </c>
      <c r="C166" t="str">
        <f>VLOOKUP(A166,DatabaseKalbar[[External Factor]:[Worker]],3,FALSE)</f>
        <v>Pegawai Swasta-Konstruksi;Wiraswasta-Konstruksi</v>
      </c>
    </row>
    <row r="167" spans="1:3" x14ac:dyDescent="0.35">
      <c r="A167" s="6" t="s">
        <v>74</v>
      </c>
      <c r="B167" s="5">
        <v>3.9300000000000002E-2</v>
      </c>
      <c r="C167" t="str">
        <f>VLOOKUP(A167,DatabaseKalbar[[External Factor]:[Worker]],3,FALSE)</f>
        <v>Pegawai Swasta;Pegawai Swasta-Industri;Wiraswasta-Industri</v>
      </c>
    </row>
    <row r="168" spans="1:3" x14ac:dyDescent="0.35">
      <c r="A168" s="6" t="s">
        <v>13</v>
      </c>
      <c r="B168" s="5">
        <v>3.73E-2</v>
      </c>
      <c r="C168" t="str">
        <f>VLOOKUP(A168,DatabaseKalbar[[External Factor]:[Worker]],3,FALSE)</f>
        <v>Pegawai Swasta-Perdagangan;Wiraswasta/Pedagang;Wiraswasta-Perdagangan</v>
      </c>
    </row>
    <row r="169" spans="1:3" x14ac:dyDescent="0.35">
      <c r="A169" s="4" t="s">
        <v>43</v>
      </c>
      <c r="B169" s="5">
        <v>0.57469999999999999</v>
      </c>
    </row>
    <row r="170" spans="1:3" x14ac:dyDescent="0.35">
      <c r="A170" s="6" t="s">
        <v>68</v>
      </c>
      <c r="B170" s="5">
        <v>0.1075</v>
      </c>
      <c r="C170" t="str">
        <f>VLOOKUP(A170,DatabaseKalbar[[External Factor]:[Worker]],3,FALSE)</f>
        <v>Ojek; Pegawai Swasta</v>
      </c>
    </row>
    <row r="171" spans="1:3" x14ac:dyDescent="0.35">
      <c r="A171" s="6" t="s">
        <v>67</v>
      </c>
      <c r="B171" s="5">
        <v>9.35E-2</v>
      </c>
      <c r="C171" t="str">
        <f>VLOOKUP(A171,DatabaseKalbar[[External Factor]:[Worker]],3,FALSE)</f>
        <v>Petani;Petani/Nelayan;Pegawai Swasta-Pertanian;Wiraswasta-Pertanian</v>
      </c>
    </row>
    <row r="172" spans="1:3" x14ac:dyDescent="0.35">
      <c r="A172" s="6" t="s">
        <v>65</v>
      </c>
      <c r="B172" s="5">
        <v>7.0099999999999996E-2</v>
      </c>
      <c r="C172" t="str">
        <f>VLOOKUP(A172,DatabaseKalbar[[External Factor]:[Worker]],3,FALSE)</f>
        <v>Pegawai Swasta-Perdagangan;Wiraswasta/Pedagang;Wiraswasta-Perdagangan</v>
      </c>
    </row>
    <row r="173" spans="1:3" x14ac:dyDescent="0.35">
      <c r="A173" s="6" t="s">
        <v>13</v>
      </c>
      <c r="B173" s="5">
        <v>6.0699999999999997E-2</v>
      </c>
      <c r="C173" t="str">
        <f>VLOOKUP(A173,DatabaseKalbar[[External Factor]:[Worker]],3,FALSE)</f>
        <v>Pegawai Swasta-Perdagangan;Wiraswasta/Pedagang;Wiraswasta-Perdagangan</v>
      </c>
    </row>
    <row r="174" spans="1:3" x14ac:dyDescent="0.35">
      <c r="A174" s="6" t="s">
        <v>3</v>
      </c>
      <c r="B174" s="5">
        <v>6.0699999999999997E-2</v>
      </c>
      <c r="C174" t="str">
        <f>VLOOKUP(A174,DatabaseKalbar[[External Factor]:[Worker]],3,FALSE)</f>
        <v>Petani;Petani/Nelayan;Pegawai Swasta-Pertanian;Wiraswasta-Pertanian;Nelayan</v>
      </c>
    </row>
    <row r="175" spans="1:3" x14ac:dyDescent="0.35">
      <c r="A175" s="6" t="s">
        <v>11</v>
      </c>
      <c r="B175" s="5">
        <v>4.6699999999999998E-2</v>
      </c>
      <c r="C175" t="str">
        <f>VLOOKUP(A175,DatabaseKalbar[[External Factor]:[Worker]],3,FALSE)</f>
        <v>Pegawai Negeri;TNI/Polri</v>
      </c>
    </row>
    <row r="176" spans="1:3" x14ac:dyDescent="0.35">
      <c r="A176" s="6" t="s">
        <v>10</v>
      </c>
      <c r="B176" s="5">
        <v>4.6699999999999998E-2</v>
      </c>
      <c r="C176" t="str">
        <f>VLOOKUP(A176,DatabaseKalbar[[External Factor]:[Worker]],3,FALSE)</f>
        <v>Pegawai Negeri;TNI/Polri</v>
      </c>
    </row>
    <row r="177" spans="1:3" x14ac:dyDescent="0.35">
      <c r="A177" s="6" t="s">
        <v>12</v>
      </c>
      <c r="B177" s="5">
        <v>4.2099999999999999E-2</v>
      </c>
      <c r="C177" t="str">
        <f>VLOOKUP(A177,DatabaseKalbar[[External Factor]:[Worker]],3,FALSE)</f>
        <v>Pegawai Swasta</v>
      </c>
    </row>
    <row r="178" spans="1:3" x14ac:dyDescent="0.35">
      <c r="A178" s="6" t="s">
        <v>70</v>
      </c>
      <c r="B178" s="5">
        <v>3.27E-2</v>
      </c>
      <c r="C178">
        <f>VLOOKUP(A178,DatabaseKalbar[[External Factor]:[Worker]],3,FALSE)</f>
        <v>0</v>
      </c>
    </row>
    <row r="179" spans="1:3" x14ac:dyDescent="0.35">
      <c r="A179" s="6" t="s">
        <v>4</v>
      </c>
      <c r="B179" s="5">
        <v>1.4E-2</v>
      </c>
      <c r="C179" t="str">
        <f>VLOOKUP(A179,DatabaseKalbar[[External Factor]:[Worker]],3,FALSE)</f>
        <v>Petani;Petani/Nelayan;Pegawai Swasta-Pertanian;Wiraswasta-Pertanian</v>
      </c>
    </row>
    <row r="180" spans="1:3" x14ac:dyDescent="0.35">
      <c r="A180" s="4" t="s">
        <v>45</v>
      </c>
      <c r="B180" s="5">
        <v>0.47559999999999997</v>
      </c>
    </row>
    <row r="181" spans="1:3" x14ac:dyDescent="0.35">
      <c r="A181" s="6" t="s">
        <v>66</v>
      </c>
      <c r="B181" s="5">
        <v>0.15179999999999999</v>
      </c>
      <c r="C181" t="str">
        <f>VLOOKUP(A181,DatabaseKalbar[[External Factor]:[Worker]],3,FALSE)</f>
        <v>Petani;Petani/Nelayan;Pegawai Swasta-Pertanian;Wiraswasta-Pertanian</v>
      </c>
    </row>
    <row r="182" spans="1:3" x14ac:dyDescent="0.35">
      <c r="A182" s="6" t="s">
        <v>3</v>
      </c>
      <c r="B182" s="5">
        <v>7.9899999999999999E-2</v>
      </c>
      <c r="C182" t="str">
        <f>VLOOKUP(A182,DatabaseKalbar[[External Factor]:[Worker]],3,FALSE)</f>
        <v>Petani;Petani/Nelayan;Pegawai Swasta-Pertanian;Wiraswasta-Pertanian;Nelayan</v>
      </c>
    </row>
    <row r="183" spans="1:3" x14ac:dyDescent="0.35">
      <c r="A183" s="6" t="s">
        <v>4</v>
      </c>
      <c r="B183" s="5">
        <v>6.83E-2</v>
      </c>
      <c r="C183" t="str">
        <f>VLOOKUP(A183,DatabaseKalbar[[External Factor]:[Worker]],3,FALSE)</f>
        <v>Petani;Petani/Nelayan;Pegawai Swasta-Pertanian;Wiraswasta-Pertanian</v>
      </c>
    </row>
    <row r="184" spans="1:3" x14ac:dyDescent="0.35">
      <c r="A184" s="6" t="s">
        <v>65</v>
      </c>
      <c r="B184" s="5">
        <v>6.6100000000000006E-2</v>
      </c>
      <c r="C184" t="str">
        <f>VLOOKUP(A184,DatabaseKalbar[[External Factor]:[Worker]],3,FALSE)</f>
        <v>Pegawai Swasta-Perdagangan;Wiraswasta/Pedagang;Wiraswasta-Perdagangan</v>
      </c>
    </row>
    <row r="185" spans="1:3" x14ac:dyDescent="0.35">
      <c r="A185" s="6" t="s">
        <v>67</v>
      </c>
      <c r="B185" s="5">
        <v>3.9E-2</v>
      </c>
      <c r="C185" t="str">
        <f>VLOOKUP(A185,DatabaseKalbar[[External Factor]:[Worker]],3,FALSE)</f>
        <v>Petani;Petani/Nelayan;Pegawai Swasta-Pertanian;Wiraswasta-Pertanian</v>
      </c>
    </row>
    <row r="186" spans="1:3" x14ac:dyDescent="0.35">
      <c r="A186" s="6" t="s">
        <v>71</v>
      </c>
      <c r="B186" s="5">
        <v>1.66E-2</v>
      </c>
      <c r="C186" t="str">
        <f>VLOOKUP(A186,DatabaseKalbar[[External Factor]:[Worker]],3,FALSE)</f>
        <v>Ojek; Pegawai Swasta</v>
      </c>
    </row>
    <row r="187" spans="1:3" x14ac:dyDescent="0.35">
      <c r="A187" s="6" t="s">
        <v>70</v>
      </c>
      <c r="B187" s="5">
        <v>1.52E-2</v>
      </c>
      <c r="C187">
        <f>VLOOKUP(A187,DatabaseKalbar[[External Factor]:[Worker]],3,FALSE)</f>
        <v>0</v>
      </c>
    </row>
    <row r="188" spans="1:3" x14ac:dyDescent="0.35">
      <c r="A188" s="6" t="s">
        <v>69</v>
      </c>
      <c r="B188" s="5">
        <v>1.52E-2</v>
      </c>
      <c r="C188" t="str">
        <f>VLOOKUP(A188,DatabaseKalbar[[External Factor]:[Worker]],3,FALSE)</f>
        <v>Pegawai Swasta;Pegawai Swasta-Industri;Wiraswasta-Industri</v>
      </c>
    </row>
    <row r="189" spans="1:3" x14ac:dyDescent="0.35">
      <c r="A189" s="6" t="s">
        <v>68</v>
      </c>
      <c r="B189" s="5">
        <v>1.2200000000000001E-2</v>
      </c>
      <c r="C189" t="str">
        <f>VLOOKUP(A189,DatabaseKalbar[[External Factor]:[Worker]],3,FALSE)</f>
        <v>Ojek; Pegawai Swasta</v>
      </c>
    </row>
    <row r="190" spans="1:3" x14ac:dyDescent="0.35">
      <c r="A190" s="6" t="s">
        <v>14</v>
      </c>
      <c r="B190" s="5">
        <v>1.1299999999999999E-2</v>
      </c>
      <c r="C190" t="str">
        <f>VLOOKUP(A190,DatabaseKalbar[[External Factor]:[Worker]],3,FALSE)</f>
        <v>Pegawai Swasta-Perdagangan;Wiraswasta/Pedagang;Wiraswasta-Perdagangan</v>
      </c>
    </row>
    <row r="191" spans="1:3" x14ac:dyDescent="0.35">
      <c r="A191" s="4" t="s">
        <v>47</v>
      </c>
      <c r="B191" s="5">
        <v>0.41809999999999997</v>
      </c>
    </row>
    <row r="192" spans="1:3" x14ac:dyDescent="0.35">
      <c r="A192" s="6" t="s">
        <v>3</v>
      </c>
      <c r="B192" s="5">
        <v>0.1019</v>
      </c>
      <c r="C192" t="str">
        <f>VLOOKUP(A192,DatabaseKalbar[[External Factor]:[Worker]],3,FALSE)</f>
        <v>Petani;Petani/Nelayan;Pegawai Swasta-Pertanian;Wiraswasta-Pertanian;Nelayan</v>
      </c>
    </row>
    <row r="193" spans="1:3" x14ac:dyDescent="0.35">
      <c r="A193" s="6" t="s">
        <v>4</v>
      </c>
      <c r="B193" s="5">
        <v>8.09E-2</v>
      </c>
      <c r="C193" t="str">
        <f>VLOOKUP(A193,DatabaseKalbar[[External Factor]:[Worker]],3,FALSE)</f>
        <v>Petani;Petani/Nelayan;Pegawai Swasta-Pertanian;Wiraswasta-Pertanian</v>
      </c>
    </row>
    <row r="194" spans="1:3" x14ac:dyDescent="0.35">
      <c r="A194" s="6" t="s">
        <v>65</v>
      </c>
      <c r="B194" s="5">
        <v>6.5199999999999994E-2</v>
      </c>
      <c r="C194" t="str">
        <f>VLOOKUP(A194,DatabaseKalbar[[External Factor]:[Worker]],3,FALSE)</f>
        <v>Pegawai Swasta-Perdagangan;Wiraswasta/Pedagang;Wiraswasta-Perdagangan</v>
      </c>
    </row>
    <row r="195" spans="1:3" x14ac:dyDescent="0.35">
      <c r="A195" s="6" t="s">
        <v>67</v>
      </c>
      <c r="B195" s="5">
        <v>5.3699999999999998E-2</v>
      </c>
      <c r="C195" t="str">
        <f>VLOOKUP(A195,DatabaseKalbar[[External Factor]:[Worker]],3,FALSE)</f>
        <v>Petani;Petani/Nelayan;Pegawai Swasta-Pertanian;Wiraswasta-Pertanian</v>
      </c>
    </row>
    <row r="196" spans="1:3" x14ac:dyDescent="0.35">
      <c r="A196" s="6" t="s">
        <v>66</v>
      </c>
      <c r="B196" s="5">
        <v>4.5600000000000002E-2</v>
      </c>
      <c r="C196" t="str">
        <f>VLOOKUP(A196,DatabaseKalbar[[External Factor]:[Worker]],3,FALSE)</f>
        <v>Petani;Petani/Nelayan;Pegawai Swasta-Pertanian;Wiraswasta-Pertanian</v>
      </c>
    </row>
    <row r="197" spans="1:3" x14ac:dyDescent="0.35">
      <c r="A197" s="6" t="s">
        <v>71</v>
      </c>
      <c r="B197" s="5">
        <v>1.89E-2</v>
      </c>
      <c r="C197" t="str">
        <f>VLOOKUP(A197,DatabaseKalbar[[External Factor]:[Worker]],3,FALSE)</f>
        <v>Ojek; Pegawai Swasta</v>
      </c>
    </row>
    <row r="198" spans="1:3" x14ac:dyDescent="0.35">
      <c r="A198" s="6" t="s">
        <v>69</v>
      </c>
      <c r="B198" s="5">
        <v>1.6500000000000001E-2</v>
      </c>
      <c r="C198" t="str">
        <f>VLOOKUP(A198,DatabaseKalbar[[External Factor]:[Worker]],3,FALSE)</f>
        <v>Pegawai Swasta;Pegawai Swasta-Industri;Wiraswasta-Industri</v>
      </c>
    </row>
    <row r="199" spans="1:3" x14ac:dyDescent="0.35">
      <c r="A199" s="6" t="s">
        <v>70</v>
      </c>
      <c r="B199" s="5">
        <v>1.29E-2</v>
      </c>
      <c r="C199">
        <f>VLOOKUP(A199,DatabaseKalbar[[External Factor]:[Worker]],3,FALSE)</f>
        <v>0</v>
      </c>
    </row>
    <row r="200" spans="1:3" x14ac:dyDescent="0.35">
      <c r="A200" s="6" t="s">
        <v>74</v>
      </c>
      <c r="B200" s="5">
        <v>1.2E-2</v>
      </c>
      <c r="C200" t="str">
        <f>VLOOKUP(A200,DatabaseKalbar[[External Factor]:[Worker]],3,FALSE)</f>
        <v>Pegawai Swasta;Pegawai Swasta-Industri;Wiraswasta-Industri</v>
      </c>
    </row>
    <row r="201" spans="1:3" x14ac:dyDescent="0.35">
      <c r="A201" s="6" t="s">
        <v>72</v>
      </c>
      <c r="B201" s="5">
        <v>1.0500000000000001E-2</v>
      </c>
      <c r="C201" t="str">
        <f>VLOOKUP(A201,DatabaseKalbar[[External Factor]:[Worker]],3,FALSE)</f>
        <v>Pegawai Swasta-Konstruksi;Wiraswasta-Konstruksi</v>
      </c>
    </row>
    <row r="202" spans="1:3" x14ac:dyDescent="0.35">
      <c r="A202" s="4" t="s">
        <v>49</v>
      </c>
      <c r="B202" s="5">
        <v>0.33049999999999996</v>
      </c>
    </row>
    <row r="203" spans="1:3" x14ac:dyDescent="0.35">
      <c r="A203" s="6" t="s">
        <v>4</v>
      </c>
      <c r="B203" s="5">
        <v>7.1900000000000006E-2</v>
      </c>
      <c r="C203" t="str">
        <f>VLOOKUP(A203,DatabaseKalbar[[External Factor]:[Worker]],3,FALSE)</f>
        <v>Petani;Petani/Nelayan;Pegawai Swasta-Pertanian;Wiraswasta-Pertanian</v>
      </c>
    </row>
    <row r="204" spans="1:3" x14ac:dyDescent="0.35">
      <c r="A204" s="6" t="s">
        <v>3</v>
      </c>
      <c r="B204" s="5">
        <v>4.41E-2</v>
      </c>
      <c r="C204" t="str">
        <f>VLOOKUP(A204,DatabaseKalbar[[External Factor]:[Worker]],3,FALSE)</f>
        <v>Petani;Petani/Nelayan;Pegawai Swasta-Pertanian;Wiraswasta-Pertanian;Nelayan</v>
      </c>
    </row>
    <row r="205" spans="1:3" x14ac:dyDescent="0.35">
      <c r="A205" s="6" t="s">
        <v>65</v>
      </c>
      <c r="B205" s="5">
        <v>4.2900000000000001E-2</v>
      </c>
      <c r="C205" t="str">
        <f>VLOOKUP(A205,DatabaseKalbar[[External Factor]:[Worker]],3,FALSE)</f>
        <v>Pegawai Swasta-Perdagangan;Wiraswasta/Pedagang;Wiraswasta-Perdagangan</v>
      </c>
    </row>
    <row r="206" spans="1:3" x14ac:dyDescent="0.35">
      <c r="A206" s="6" t="s">
        <v>81</v>
      </c>
      <c r="B206" s="5">
        <v>3.0800000000000001E-2</v>
      </c>
      <c r="C206" t="e">
        <f>VLOOKUP(A206,DatabaseKalbar[[External Factor]:[Worker]],3,FALSE)</f>
        <v>#N/A</v>
      </c>
    </row>
    <row r="207" spans="1:3" x14ac:dyDescent="0.35">
      <c r="A207" s="6" t="s">
        <v>70</v>
      </c>
      <c r="B207" s="5">
        <v>3.04E-2</v>
      </c>
      <c r="C207">
        <f>VLOOKUP(A207,DatabaseKalbar[[External Factor]:[Worker]],3,FALSE)</f>
        <v>0</v>
      </c>
    </row>
    <row r="208" spans="1:3" x14ac:dyDescent="0.35">
      <c r="A208" s="6" t="s">
        <v>75</v>
      </c>
      <c r="B208" s="5">
        <v>3.0200000000000001E-2</v>
      </c>
      <c r="C208" t="str">
        <f>VLOOKUP(A208,DatabaseKalbar[[External Factor]:[Worker]],3,FALSE)</f>
        <v>Pegawai Swasta-Konstruksi;Wiraswasta-Konstruksi</v>
      </c>
    </row>
    <row r="209" spans="1:3" x14ac:dyDescent="0.35">
      <c r="A209" s="6" t="s">
        <v>13</v>
      </c>
      <c r="B209" s="5">
        <v>2.2100000000000002E-2</v>
      </c>
      <c r="C209" t="str">
        <f>VLOOKUP(A209,DatabaseKalbar[[External Factor]:[Worker]],3,FALSE)</f>
        <v>Pegawai Swasta-Perdagangan;Wiraswasta/Pedagang;Wiraswasta-Perdagangan</v>
      </c>
    </row>
    <row r="210" spans="1:3" x14ac:dyDescent="0.35">
      <c r="A210" s="6" t="s">
        <v>66</v>
      </c>
      <c r="B210" s="5">
        <v>2.1499999999999998E-2</v>
      </c>
      <c r="C210" t="str">
        <f>VLOOKUP(A210,DatabaseKalbar[[External Factor]:[Worker]],3,FALSE)</f>
        <v>Petani;Petani/Nelayan;Pegawai Swasta-Pertanian;Wiraswasta-Pertanian</v>
      </c>
    </row>
    <row r="211" spans="1:3" x14ac:dyDescent="0.35">
      <c r="A211" s="6" t="s">
        <v>71</v>
      </c>
      <c r="B211" s="5">
        <v>2.1100000000000001E-2</v>
      </c>
      <c r="C211" t="str">
        <f>VLOOKUP(A211,DatabaseKalbar[[External Factor]:[Worker]],3,FALSE)</f>
        <v>Ojek; Pegawai Swasta</v>
      </c>
    </row>
    <row r="212" spans="1:3" x14ac:dyDescent="0.35">
      <c r="A212" s="6" t="s">
        <v>67</v>
      </c>
      <c r="B212" s="5">
        <v>1.55E-2</v>
      </c>
      <c r="C212" t="str">
        <f>VLOOKUP(A212,DatabaseKalbar[[External Factor]:[Worker]],3,FALSE)</f>
        <v>Petani;Petani/Nelayan;Pegawai Swasta-Pertanian;Wiraswasta-Pertanian</v>
      </c>
    </row>
    <row r="213" spans="1:3" x14ac:dyDescent="0.35">
      <c r="A213" s="4" t="s">
        <v>15</v>
      </c>
      <c r="B213" s="5">
        <v>8.7697000000000038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 per Kabupaten</vt:lpstr>
      <vt:lpstr>Database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Gavriel Benny</dc:creator>
  <cp:lastModifiedBy>Gavriel Benny</cp:lastModifiedBy>
  <dcterms:created xsi:type="dcterms:W3CDTF">2015-06-05T18:17:20Z</dcterms:created>
  <dcterms:modified xsi:type="dcterms:W3CDTF">2025-09-23T07:01:19Z</dcterms:modified>
</cp:coreProperties>
</file>