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astrainternational-my.sharepoint.com/personal/linda_ayu_ai_astra_co_id/Documents/Product/Sales Assistant/"/>
    </mc:Choice>
  </mc:AlternateContent>
  <xr:revisionPtr revIDLastSave="0" documentId="8_{2C9FD1B1-C618-4BEE-B998-1543D9563302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heet2" sheetId="6" state="hidden" r:id="rId1"/>
    <sheet name="List customer" sheetId="4" r:id="rId2"/>
    <sheet name="Sheet1" sheetId="5" state="hidden" r:id="rId3"/>
  </sheets>
  <definedNames>
    <definedName name="_xlnm._FilterDatabase" localSheetId="1" hidden="1">'List customer'!$A$1:$AW$10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5" l="1"/>
  <c r="D6" i="5"/>
  <c r="D3" i="5"/>
</calcChain>
</file>

<file path=xl/sharedStrings.xml><?xml version="1.0" encoding="utf-8"?>
<sst xmlns="http://schemas.openxmlformats.org/spreadsheetml/2006/main" count="278" uniqueCount="250">
  <si>
    <t>Angka Sales Record dicek kembali, terdapat gap yang sangat signifikan dengan angka SSU sebenarnya</t>
  </si>
  <si>
    <t>Contoh:</t>
  </si>
  <si>
    <t>Region Makassar bulan November 2024</t>
  </si>
  <si>
    <t>- Dashboard Macro: 23.605 unit</t>
  </si>
  <si>
    <t>- Dashboard Customer Profile Sales: 17.281 unit</t>
  </si>
  <si>
    <t>Region Pontianak bulan November 2024</t>
  </si>
  <si>
    <t>- Dashboard Macro: 13.393 unit</t>
  </si>
  <si>
    <t>- Dashboard Customer Profile Sales: 10.381 unit</t>
  </si>
  <si>
    <t>Region Yogyakarta Sales di rentang 40-50rb pada dashboard</t>
  </si>
  <si>
    <t>Actual Yogyakarta di rentan 18-25rb per bulan</t>
  </si>
  <si>
    <t>done</t>
  </si>
  <si>
    <t>mainpartner</t>
  </si>
  <si>
    <t>macro_segment</t>
  </si>
  <si>
    <t>micro_segment</t>
  </si>
  <si>
    <t>customername_m</t>
  </si>
  <si>
    <t>nohp_m</t>
  </si>
  <si>
    <t>customertype</t>
  </si>
  <si>
    <t>last_transaction_date</t>
  </si>
  <si>
    <t>city_cust</t>
  </si>
  <si>
    <t>kecamatan</t>
  </si>
  <si>
    <t>kelurahan</t>
  </si>
  <si>
    <t>job</t>
  </si>
  <si>
    <t>age_generation</t>
  </si>
  <si>
    <t>education</t>
  </si>
  <si>
    <t>gender</t>
  </si>
  <si>
    <t>hobby</t>
  </si>
  <si>
    <t>total_purchase</t>
  </si>
  <si>
    <t>recency_purchase</t>
  </si>
  <si>
    <t>total_spending_purchase</t>
  </si>
  <si>
    <t>spending</t>
  </si>
  <si>
    <t>ownedsegmentnow</t>
  </si>
  <si>
    <t>series_last_3</t>
  </si>
  <si>
    <t>purposeofuse</t>
  </si>
  <si>
    <t>cash_count</t>
  </si>
  <si>
    <t>credit_count</t>
  </si>
  <si>
    <t>dpnominal</t>
  </si>
  <si>
    <t>financecompany</t>
  </si>
  <si>
    <t>credit_percentage</t>
  </si>
  <si>
    <t>ownedbrandnow</t>
  </si>
  <si>
    <t>pemakai</t>
  </si>
  <si>
    <t>avg_recency_service_perunit</t>
  </si>
  <si>
    <t>avg_spending_service_perunit</t>
  </si>
  <si>
    <t>total_service</t>
  </si>
  <si>
    <t>avg_service_day_perunit</t>
  </si>
  <si>
    <t>total_unit_service</t>
  </si>
  <si>
    <t>status_service_kpb1</t>
  </si>
  <si>
    <t>status_service_kpb2</t>
  </si>
  <si>
    <t>status_service_kpb3</t>
  </si>
  <si>
    <t>status_service_kpb4</t>
  </si>
  <si>
    <t>region</t>
  </si>
  <si>
    <t>region_name</t>
  </si>
  <si>
    <t>regioncode</t>
  </si>
  <si>
    <t>dealercode</t>
  </si>
  <si>
    <t>dealergroupcode</t>
  </si>
  <si>
    <t>dealergroupnasional</t>
  </si>
  <si>
    <t>maindealercode</t>
  </si>
  <si>
    <t>maindealername</t>
  </si>
  <si>
    <t>last_sales_person_name</t>
  </si>
  <si>
    <t>last_sales_people_no</t>
  </si>
  <si>
    <t>Sample_1</t>
  </si>
  <si>
    <t>1. Low Spender - New joiners</t>
  </si>
  <si>
    <t>Rmed_Flow</t>
  </si>
  <si>
    <t>LISKAWATI</t>
  </si>
  <si>
    <t>Individual Customer (Regular)</t>
  </si>
  <si>
    <t>KAB. SANGGAU</t>
  </si>
  <si>
    <t>SENGAH TEMILA</t>
  </si>
  <si>
    <t>UNTANG</t>
  </si>
  <si>
    <t>Ibu Rumah Tangga</t>
  </si>
  <si>
    <t>Millennials</t>
  </si>
  <si>
    <t>SD</t>
  </si>
  <si>
    <t>perempuan</t>
  </si>
  <si>
    <t>Seni dan Kreativitas</t>
  </si>
  <si>
    <t>&gt; Rp 6.000.000,-</t>
  </si>
  <si>
    <t>AT(Automatic)</t>
  </si>
  <si>
    <t>VARIO 150 SERIES</t>
  </si>
  <si>
    <t>Bekerja</t>
  </si>
  <si>
    <t>Other</t>
  </si>
  <si>
    <t>Belum pernah memiliki</t>
  </si>
  <si>
    <t>Lain-lain</t>
  </si>
  <si>
    <t>Not Service</t>
  </si>
  <si>
    <t>Own Group Dealer</t>
  </si>
  <si>
    <t>Own Dealer</t>
  </si>
  <si>
    <t>H800</t>
  </si>
  <si>
    <t>Pontianak</t>
  </si>
  <si>
    <t>H720</t>
  </si>
  <si>
    <t>JAMO</t>
  </si>
  <si>
    <t>TUDM</t>
  </si>
  <si>
    <t>R4Z</t>
  </si>
  <si>
    <t>ASTRA MOTOR PONTIANAK</t>
  </si>
  <si>
    <t>MARINI</t>
  </si>
  <si>
    <t>Sample_2</t>
  </si>
  <si>
    <t>2. Low Spender - Need Attention</t>
  </si>
  <si>
    <t>Rlow_Fmed</t>
  </si>
  <si>
    <t>ANGGUN SETIANINGSIH</t>
  </si>
  <si>
    <t>Individual Customer (Kolektif)</t>
  </si>
  <si>
    <t>KUBU RAYA</t>
  </si>
  <si>
    <t>TELUK BATANG</t>
  </si>
  <si>
    <t>MANDOR KIRU</t>
  </si>
  <si>
    <t>Pegawai Swasta</t>
  </si>
  <si>
    <t>Gen Z</t>
  </si>
  <si>
    <t>not_available</t>
  </si>
  <si>
    <t>laki-laki</t>
  </si>
  <si>
    <t>Kegiatan Spiritual dan Kultural</t>
  </si>
  <si>
    <t>Rp 1.250.001,- s/d Rp 1.750.000,-</t>
  </si>
  <si>
    <t>BEAT SERIES</t>
  </si>
  <si>
    <t>Kebutuhan Keluarga</t>
  </si>
  <si>
    <t>PT NUSA SURYA CIPTADANA</t>
  </si>
  <si>
    <t>non-Honda</t>
  </si>
  <si>
    <t>H360</t>
  </si>
  <si>
    <t>ABMO</t>
  </si>
  <si>
    <t>UTMA</t>
  </si>
  <si>
    <t>Q01</t>
  </si>
  <si>
    <t>NUDIALIS SOLATA</t>
  </si>
  <si>
    <t>Sample_3</t>
  </si>
  <si>
    <t>3. Low Spender - Dormant</t>
  </si>
  <si>
    <t>Rmed_Fmed</t>
  </si>
  <si>
    <t>LIN LUSIANA</t>
  </si>
  <si>
    <t>SAMBAS</t>
  </si>
  <si>
    <t>MARAU</t>
  </si>
  <si>
    <t>PENAI</t>
  </si>
  <si>
    <t>Mahasiswa/ Pelajar</t>
  </si>
  <si>
    <t>Unknown</t>
  </si>
  <si>
    <t>Tidak/Belum Sekolah</t>
  </si>
  <si>
    <t>Rp 1.750.001,-s/d Rp 2.500.000,-</t>
  </si>
  <si>
    <t>Cub(Bebek)</t>
  </si>
  <si>
    <t>CB 150 SERIES</t>
  </si>
  <si>
    <t>PT ADIRA DINAMIKA MULTIFINANCE TBK</t>
  </si>
  <si>
    <t>Honda</t>
  </si>
  <si>
    <t>Saya sendiri</t>
  </si>
  <si>
    <t>Other Ahass</t>
  </si>
  <si>
    <t>KRDI</t>
  </si>
  <si>
    <t>ASMO</t>
  </si>
  <si>
    <t>Rubensius pansang</t>
  </si>
  <si>
    <t>Sample_4</t>
  </si>
  <si>
    <t>4. Med Spender - Loyal</t>
  </si>
  <si>
    <t>No Service Record</t>
  </si>
  <si>
    <t>MELLIA</t>
  </si>
  <si>
    <t>KETAPANG</t>
  </si>
  <si>
    <t>PONTIANAK SELATAN</t>
  </si>
  <si>
    <t>PAKAK</t>
  </si>
  <si>
    <t>Gen Alpha &amp; Younger</t>
  </si>
  <si>
    <t>Sarjana</t>
  </si>
  <si>
    <t>Kegiatan Santai dan Hiburan</t>
  </si>
  <si>
    <t>Sport</t>
  </si>
  <si>
    <t>VERZA SERIES</t>
  </si>
  <si>
    <t>Ke Sekolah/ ke Kampus</t>
  </si>
  <si>
    <t>PT. SUMMIT OTO FINANCE</t>
  </si>
  <si>
    <t>Anak</t>
  </si>
  <si>
    <t>H760</t>
  </si>
  <si>
    <t>NUSS</t>
  </si>
  <si>
    <t>AGUSTINUS RISFAN TRIWIBOWO</t>
  </si>
  <si>
    <t>Sample_5</t>
  </si>
  <si>
    <t>5. Med Spender - Need Attention</t>
  </si>
  <si>
    <t>Rmed_Fhigh</t>
  </si>
  <si>
    <t>NANIEK KASIATI</t>
  </si>
  <si>
    <t>KAB. KUBU RAYA</t>
  </si>
  <si>
    <t>MELIAU</t>
  </si>
  <si>
    <t>SEDAHAN JAYA</t>
  </si>
  <si>
    <t>Petani/Nelayan</t>
  </si>
  <si>
    <t>Baby Boomers</t>
  </si>
  <si>
    <t>Akademi/Diploma</t>
  </si>
  <si>
    <t>Aktivitas Fisik dan Olahraga</t>
  </si>
  <si>
    <t>Rp 2.500.001,-s/d Rp 4.000.000,-</t>
  </si>
  <si>
    <t>GENIO SERIES</t>
  </si>
  <si>
    <t>Pasangan (suami/ istri)</t>
  </si>
  <si>
    <t>H700</t>
  </si>
  <si>
    <t>PABA</t>
  </si>
  <si>
    <t>NGMS</t>
  </si>
  <si>
    <t>USMANDA</t>
  </si>
  <si>
    <t>Sample_6</t>
  </si>
  <si>
    <t>6. Med Spender - Dormant</t>
  </si>
  <si>
    <t>Rhigh_Fmed</t>
  </si>
  <si>
    <t>VIVI DWIYANTI</t>
  </si>
  <si>
    <t>KAB. SINTANG</t>
  </si>
  <si>
    <t>JAWAI SELATAN</t>
  </si>
  <si>
    <t>SUNGAI ITIK</t>
  </si>
  <si>
    <t>TNI/Polri</t>
  </si>
  <si>
    <t>Gen X</t>
  </si>
  <si>
    <t>SLTP/SMP</t>
  </si>
  <si>
    <t>Rp 900.001,- s/d Rp 1.250.000,-</t>
  </si>
  <si>
    <t>VARIO 125 SERIES</t>
  </si>
  <si>
    <t>Pemakaian jarak dekat</t>
  </si>
  <si>
    <t>PT. FEDERAL INTERNATIONAL FINANCE</t>
  </si>
  <si>
    <t>H530</t>
  </si>
  <si>
    <t>BIMO</t>
  </si>
  <si>
    <t>NYONO PRASTIO</t>
  </si>
  <si>
    <t>Sample_7</t>
  </si>
  <si>
    <t>7. High Spender - Loyal</t>
  </si>
  <si>
    <t>Rhigh_Flow</t>
  </si>
  <si>
    <t>OKTAVIANUS TADEUS</t>
  </si>
  <si>
    <t>KAB. SAMBAS</t>
  </si>
  <si>
    <t>TOBA</t>
  </si>
  <si>
    <t>BINA JAYA</t>
  </si>
  <si>
    <t>Older Generations</t>
  </si>
  <si>
    <t>SLTA/SMU</t>
  </si>
  <si>
    <t>Rp 4.000.001,-s/d Rp 6.000.000,-</t>
  </si>
  <si>
    <t>REVO SERIES</t>
  </si>
  <si>
    <t>Berdagang</t>
  </si>
  <si>
    <t>H540</t>
  </si>
  <si>
    <t>MEMO</t>
  </si>
  <si>
    <t>DAMA</t>
  </si>
  <si>
    <t>MEDY SAWALUDIN</t>
  </si>
  <si>
    <t>Sample_8</t>
  </si>
  <si>
    <t>8. High Spender - Need Attention</t>
  </si>
  <si>
    <t>Rhigh_Fhigh</t>
  </si>
  <si>
    <t>ASIH PUSPOSARI</t>
  </si>
  <si>
    <t>SEKADAU</t>
  </si>
  <si>
    <t>NANGA TAMAN</t>
  </si>
  <si>
    <t>NANGA BIANG</t>
  </si>
  <si>
    <t>Pegawai Negeri</t>
  </si>
  <si>
    <t>Tidak Tamat SD</t>
  </si>
  <si>
    <t>&lt;Rp 900.000,-</t>
  </si>
  <si>
    <t>Rekreasi/ Olah raga</t>
  </si>
  <si>
    <t>H350</t>
  </si>
  <si>
    <t>MAFE</t>
  </si>
  <si>
    <t>ARTJ</t>
  </si>
  <si>
    <t>IRSHANTO</t>
  </si>
  <si>
    <t>Sample_9</t>
  </si>
  <si>
    <t>9. High Spender - Dormant</t>
  </si>
  <si>
    <t>Rlow_Fhigh</t>
  </si>
  <si>
    <t>VERRY FERNANDES</t>
  </si>
  <si>
    <t>LANDAK</t>
  </si>
  <si>
    <t>MONTERADO</t>
  </si>
  <si>
    <t>PERMIIT</t>
  </si>
  <si>
    <t>Wiraswasta</t>
  </si>
  <si>
    <t>Pasca Sarjana</t>
  </si>
  <si>
    <t>SUPRA 125 SERIES</t>
  </si>
  <si>
    <t>CEMO</t>
  </si>
  <si>
    <t>ANGR</t>
  </si>
  <si>
    <t>ANTONIA MARINI</t>
  </si>
  <si>
    <t>Sample_10</t>
  </si>
  <si>
    <t>Rlow_Flow</t>
  </si>
  <si>
    <t>GIPSY SORI TUA MARPAUNG</t>
  </si>
  <si>
    <t>KAYONG UTARA</t>
  </si>
  <si>
    <t>SUNGAI LAUR</t>
  </si>
  <si>
    <t>JELIMPO</t>
  </si>
  <si>
    <t>Professional</t>
  </si>
  <si>
    <t>CRF 150 SERIES</t>
  </si>
  <si>
    <t>LKNA</t>
  </si>
  <si>
    <t>MUHAMMAD ADITYA NOVRILIANTO</t>
  </si>
  <si>
    <t>KM1</t>
  </si>
  <si>
    <t>KM2</t>
  </si>
  <si>
    <t>DIFF KM</t>
  </si>
  <si>
    <t>pkbdate1</t>
  </si>
  <si>
    <t>pkbdate2</t>
  </si>
  <si>
    <t>jarak waktu</t>
  </si>
  <si>
    <t>engineno 1</t>
  </si>
  <si>
    <t>engineno 2</t>
  </si>
  <si>
    <t xml:space="preserve">jadi </t>
  </si>
  <si>
    <t>usage_km_perday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</si>
</sst>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3B3A39"/>
      <name val="Segoe UI"/>
      <charset val="1"/>
    </font>
    <font>
      <sz val="9"/>
      <color rgb="FF3B3A39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0" xfId="0" applyFont="1"/>
    <xf numFmtId="14" fontId="0" fillId="0" borderId="0" xfId="0" applyNumberFormat="1"/>
    <xf numFmtId="0" fontId="0" fillId="0" borderId="0" xfId="0" quotePrefix="1" applyAlignment="1">
      <alignment wrapText="1"/>
    </xf>
    <xf numFmtId="0" fontId="0" fillId="3" borderId="0" xfId="0" applyFill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22" fontId="3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A7C6-5A53-4CB1-A841-6D7D659C494F}">
  <dimension ref="B2:E15"/>
  <sheetViews>
    <sheetView workbookViewId="0">
      <selection activeCell="F14" sqref="F14"/>
    </sheetView>
  </sheetViews>
  <sheetFormatPr defaultRowHeight="14.5" x14ac:dyDescent="0.35"/>
  <cols>
    <col min="2" max="2" width="36.54296875" bestFit="1" customWidth="1"/>
    <col min="4" max="5" width="12.7265625" bestFit="1" customWidth="1"/>
  </cols>
  <sheetData>
    <row r="2" spans="2:5" ht="43.5" x14ac:dyDescent="0.35">
      <c r="B2" s="1" t="s">
        <v>0</v>
      </c>
    </row>
    <row r="3" spans="2:5" x14ac:dyDescent="0.35">
      <c r="B3" s="1"/>
    </row>
    <row r="4" spans="2:5" x14ac:dyDescent="0.35">
      <c r="B4" s="1" t="s">
        <v>1</v>
      </c>
    </row>
    <row r="5" spans="2:5" x14ac:dyDescent="0.35">
      <c r="B5" s="1" t="s">
        <v>2</v>
      </c>
      <c r="D5" s="6"/>
    </row>
    <row r="6" spans="2:5" x14ac:dyDescent="0.35">
      <c r="B6" s="5" t="s">
        <v>3</v>
      </c>
      <c r="D6" s="6"/>
      <c r="E6">
        <v>7975</v>
      </c>
    </row>
    <row r="7" spans="2:5" ht="29" x14ac:dyDescent="0.35">
      <c r="B7" s="5" t="s">
        <v>4</v>
      </c>
    </row>
    <row r="8" spans="2:5" x14ac:dyDescent="0.35">
      <c r="B8" s="1"/>
    </row>
    <row r="9" spans="2:5" x14ac:dyDescent="0.35">
      <c r="B9" s="1" t="s">
        <v>5</v>
      </c>
      <c r="D9" s="6"/>
    </row>
    <row r="10" spans="2:5" x14ac:dyDescent="0.35">
      <c r="B10" s="5" t="s">
        <v>6</v>
      </c>
      <c r="D10" s="6"/>
      <c r="E10">
        <v>8455</v>
      </c>
    </row>
    <row r="11" spans="2:5" ht="29" x14ac:dyDescent="0.35">
      <c r="B11" s="5" t="s">
        <v>7</v>
      </c>
    </row>
    <row r="12" spans="2:5" x14ac:dyDescent="0.35">
      <c r="B12" s="1"/>
    </row>
    <row r="13" spans="2:5" ht="29" x14ac:dyDescent="0.35">
      <c r="B13" s="1" t="s">
        <v>8</v>
      </c>
    </row>
    <row r="14" spans="2:5" ht="29" x14ac:dyDescent="0.35">
      <c r="B14" s="1" t="s">
        <v>9</v>
      </c>
      <c r="D14" t="s">
        <v>10</v>
      </c>
    </row>
    <row r="15" spans="2:5" x14ac:dyDescent="0.35">
      <c r="B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9F8A-7474-4B0C-AB5F-8FC9888030B1}">
  <dimension ref="A1:AW11"/>
  <sheetViews>
    <sheetView tabSelected="1" workbookViewId="0">
      <selection activeCell="Y3" sqref="Y3"/>
    </sheetView>
  </sheetViews>
  <sheetFormatPr defaultRowHeight="14.5" x14ac:dyDescent="0.35"/>
  <cols>
    <col min="1" max="1" width="22.1796875" bestFit="1" customWidth="1"/>
    <col min="2" max="2" width="16.453125" bestFit="1" customWidth="1"/>
    <col min="3" max="3" width="19" customWidth="1"/>
    <col min="4" max="4" width="21.26953125" customWidth="1"/>
    <col min="5" max="5" width="14.81640625" customWidth="1"/>
    <col min="6" max="6" width="13.26953125" bestFit="1" customWidth="1"/>
    <col min="7" max="7" width="14" customWidth="1"/>
    <col min="8" max="8" width="17.81640625" customWidth="1"/>
    <col min="19" max="19" width="10.81640625" bestFit="1" customWidth="1"/>
    <col min="20" max="20" width="13.7265625" customWidth="1"/>
    <col min="28" max="28" width="11.453125" bestFit="1" customWidth="1"/>
    <col min="31" max="31" width="9.26953125" bestFit="1" customWidth="1"/>
    <col min="32" max="32" width="14" customWidth="1"/>
    <col min="35" max="35" width="9.26953125" bestFit="1" customWidth="1"/>
    <col min="37" max="37" width="9.26953125" bestFit="1" customWidth="1"/>
    <col min="39" max="39" width="12.81640625" customWidth="1"/>
  </cols>
  <sheetData>
    <row r="1" spans="1:49" ht="42" x14ac:dyDescent="0.4">
      <c r="A1" s="2"/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25</v>
      </c>
      <c r="Q1" s="7" t="s">
        <v>26</v>
      </c>
      <c r="R1" s="7" t="s">
        <v>27</v>
      </c>
      <c r="S1" s="7" t="s">
        <v>28</v>
      </c>
      <c r="T1" s="7" t="s">
        <v>29</v>
      </c>
      <c r="U1" s="7" t="s">
        <v>30</v>
      </c>
      <c r="V1" s="7" t="s">
        <v>31</v>
      </c>
      <c r="W1" s="7" t="s">
        <v>32</v>
      </c>
      <c r="X1" s="7" t="s">
        <v>33</v>
      </c>
      <c r="Y1" s="7" t="s">
        <v>34</v>
      </c>
      <c r="Z1" s="7" t="s">
        <v>35</v>
      </c>
      <c r="AA1" s="7" t="s">
        <v>36</v>
      </c>
      <c r="AB1" s="7" t="s">
        <v>37</v>
      </c>
      <c r="AC1" s="7" t="s">
        <v>38</v>
      </c>
      <c r="AD1" s="7" t="s">
        <v>39</v>
      </c>
      <c r="AE1" s="7" t="s">
        <v>40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47</v>
      </c>
      <c r="AM1" s="7" t="s">
        <v>48</v>
      </c>
      <c r="AN1" s="7" t="s">
        <v>49</v>
      </c>
      <c r="AO1" s="7" t="s">
        <v>50</v>
      </c>
      <c r="AP1" s="7" t="s">
        <v>51</v>
      </c>
      <c r="AQ1" s="7" t="s">
        <v>52</v>
      </c>
      <c r="AR1" s="7" t="s">
        <v>53</v>
      </c>
      <c r="AS1" s="7" t="s">
        <v>54</v>
      </c>
      <c r="AT1" s="7" t="s">
        <v>55</v>
      </c>
      <c r="AU1" s="7" t="s">
        <v>56</v>
      </c>
      <c r="AV1" s="7" t="s">
        <v>57</v>
      </c>
      <c r="AW1" s="7" t="s">
        <v>58</v>
      </c>
    </row>
    <row r="2" spans="1:49" ht="56" x14ac:dyDescent="0.4">
      <c r="A2" s="7" t="s">
        <v>59</v>
      </c>
      <c r="B2" s="8">
        <v>37863785</v>
      </c>
      <c r="C2" s="8" t="s">
        <v>60</v>
      </c>
      <c r="D2" s="8" t="s">
        <v>61</v>
      </c>
      <c r="E2" s="8" t="s">
        <v>62</v>
      </c>
      <c r="F2" s="8">
        <v>85386186166</v>
      </c>
      <c r="G2" s="8" t="s">
        <v>63</v>
      </c>
      <c r="H2" s="9">
        <v>44973.33</v>
      </c>
      <c r="I2" s="8" t="s">
        <v>64</v>
      </c>
      <c r="J2" s="8" t="s">
        <v>65</v>
      </c>
      <c r="K2" s="8" t="s">
        <v>66</v>
      </c>
      <c r="L2" s="8" t="s">
        <v>67</v>
      </c>
      <c r="M2" s="8" t="s">
        <v>68</v>
      </c>
      <c r="N2" s="8" t="s">
        <v>69</v>
      </c>
      <c r="O2" s="8" t="s">
        <v>70</v>
      </c>
      <c r="P2" s="8" t="s">
        <v>71</v>
      </c>
      <c r="Q2" s="8">
        <v>13</v>
      </c>
      <c r="R2" s="8">
        <v>3324</v>
      </c>
      <c r="S2" s="8">
        <v>37787415</v>
      </c>
      <c r="T2" s="8" t="s">
        <v>72</v>
      </c>
      <c r="U2" s="8" t="s">
        <v>73</v>
      </c>
      <c r="V2" s="8" t="s">
        <v>74</v>
      </c>
      <c r="W2" s="8" t="s">
        <v>75</v>
      </c>
      <c r="X2" s="8">
        <v>2</v>
      </c>
      <c r="Y2" s="8">
        <v>11</v>
      </c>
      <c r="Z2" s="8">
        <v>14992500</v>
      </c>
      <c r="AA2" s="8" t="s">
        <v>76</v>
      </c>
      <c r="AB2" s="8">
        <v>0.222222</v>
      </c>
      <c r="AC2" s="8" t="s">
        <v>77</v>
      </c>
      <c r="AD2" s="8" t="s">
        <v>78</v>
      </c>
      <c r="AE2" s="8">
        <v>3647</v>
      </c>
      <c r="AF2" s="8">
        <v>82458.33</v>
      </c>
      <c r="AG2" s="8">
        <v>129</v>
      </c>
      <c r="AH2" s="8">
        <v>1640</v>
      </c>
      <c r="AI2" s="8">
        <v>11</v>
      </c>
      <c r="AJ2" s="8" t="s">
        <v>79</v>
      </c>
      <c r="AK2" s="8" t="s">
        <v>80</v>
      </c>
      <c r="AL2" s="8" t="s">
        <v>81</v>
      </c>
      <c r="AM2" s="8" t="s">
        <v>80</v>
      </c>
      <c r="AN2" s="8" t="s">
        <v>82</v>
      </c>
      <c r="AO2" s="8" t="s">
        <v>83</v>
      </c>
      <c r="AP2" s="8" t="s">
        <v>84</v>
      </c>
      <c r="AQ2" s="8">
        <v>7140</v>
      </c>
      <c r="AR2" s="8" t="s">
        <v>85</v>
      </c>
      <c r="AS2" s="8" t="s">
        <v>86</v>
      </c>
      <c r="AT2" s="8" t="s">
        <v>87</v>
      </c>
      <c r="AU2" s="8" t="s">
        <v>88</v>
      </c>
      <c r="AV2" s="8" t="s">
        <v>89</v>
      </c>
      <c r="AW2" s="8">
        <v>406971</v>
      </c>
    </row>
    <row r="3" spans="1:49" ht="56" x14ac:dyDescent="0.4">
      <c r="A3" s="7" t="s">
        <v>90</v>
      </c>
      <c r="B3" s="8">
        <v>1551548</v>
      </c>
      <c r="C3" s="8" t="s">
        <v>91</v>
      </c>
      <c r="D3" s="8" t="s">
        <v>92</v>
      </c>
      <c r="E3" s="8" t="s">
        <v>93</v>
      </c>
      <c r="F3" s="8">
        <v>81348215368</v>
      </c>
      <c r="G3" s="8" t="s">
        <v>94</v>
      </c>
      <c r="H3" s="9">
        <v>43363</v>
      </c>
      <c r="I3" s="8" t="s">
        <v>95</v>
      </c>
      <c r="J3" s="8" t="s">
        <v>96</v>
      </c>
      <c r="K3" s="8" t="s">
        <v>97</v>
      </c>
      <c r="L3" s="8" t="s">
        <v>98</v>
      </c>
      <c r="M3" s="8" t="s">
        <v>99</v>
      </c>
      <c r="N3" s="8" t="s">
        <v>100</v>
      </c>
      <c r="O3" s="8" t="s">
        <v>101</v>
      </c>
      <c r="P3" s="8" t="s">
        <v>102</v>
      </c>
      <c r="Q3" s="8">
        <v>25</v>
      </c>
      <c r="R3" s="8">
        <v>603</v>
      </c>
      <c r="S3" s="8">
        <v>62974658</v>
      </c>
      <c r="T3" s="8" t="s">
        <v>103</v>
      </c>
      <c r="U3" s="8" t="s">
        <v>100</v>
      </c>
      <c r="V3" s="8" t="s">
        <v>104</v>
      </c>
      <c r="W3" s="8" t="s">
        <v>105</v>
      </c>
      <c r="X3" s="8">
        <v>6</v>
      </c>
      <c r="Y3" s="8">
        <v>3</v>
      </c>
      <c r="Z3" s="8">
        <v>4760000</v>
      </c>
      <c r="AA3" s="8" t="s">
        <v>106</v>
      </c>
      <c r="AB3" s="8">
        <v>0.86666699999999997</v>
      </c>
      <c r="AC3" s="8" t="s">
        <v>107</v>
      </c>
      <c r="AD3" s="8" t="s">
        <v>100</v>
      </c>
      <c r="AE3" s="8">
        <v>1622.5</v>
      </c>
      <c r="AF3" s="8">
        <v>40823.61</v>
      </c>
      <c r="AG3" s="8">
        <v>95</v>
      </c>
      <c r="AH3" s="8">
        <v>423</v>
      </c>
      <c r="AI3" s="8">
        <v>4</v>
      </c>
      <c r="AJ3" s="8"/>
      <c r="AK3" s="8" t="s">
        <v>79</v>
      </c>
      <c r="AL3" s="8" t="s">
        <v>80</v>
      </c>
      <c r="AM3" s="8" t="s">
        <v>79</v>
      </c>
      <c r="AN3" s="8" t="s">
        <v>108</v>
      </c>
      <c r="AO3" s="8"/>
      <c r="AP3" s="8"/>
      <c r="AQ3" s="8">
        <v>13222</v>
      </c>
      <c r="AR3" s="8" t="s">
        <v>109</v>
      </c>
      <c r="AS3" s="8" t="s">
        <v>110</v>
      </c>
      <c r="AT3" s="8" t="s">
        <v>111</v>
      </c>
      <c r="AU3" s="8"/>
      <c r="AV3" s="8" t="s">
        <v>112</v>
      </c>
      <c r="AW3" s="8">
        <v>376548</v>
      </c>
    </row>
    <row r="4" spans="1:49" ht="70" x14ac:dyDescent="0.4">
      <c r="A4" s="7" t="s">
        <v>113</v>
      </c>
      <c r="B4" s="8">
        <v>32453277</v>
      </c>
      <c r="C4" s="8" t="s">
        <v>114</v>
      </c>
      <c r="D4" s="8" t="s">
        <v>115</v>
      </c>
      <c r="E4" s="8" t="s">
        <v>116</v>
      </c>
      <c r="F4" s="8">
        <v>85849685804</v>
      </c>
      <c r="G4" s="8"/>
      <c r="H4" s="9">
        <v>42458</v>
      </c>
      <c r="I4" s="8" t="s">
        <v>117</v>
      </c>
      <c r="J4" s="8" t="s">
        <v>118</v>
      </c>
      <c r="K4" s="8" t="s">
        <v>119</v>
      </c>
      <c r="L4" s="8" t="s">
        <v>120</v>
      </c>
      <c r="M4" s="8" t="s">
        <v>121</v>
      </c>
      <c r="N4" s="8" t="s">
        <v>122</v>
      </c>
      <c r="O4" s="8"/>
      <c r="P4" s="8" t="s">
        <v>100</v>
      </c>
      <c r="Q4" s="8">
        <v>23</v>
      </c>
      <c r="R4" s="8">
        <v>2919</v>
      </c>
      <c r="S4" s="8">
        <v>130362951</v>
      </c>
      <c r="T4" s="8" t="s">
        <v>123</v>
      </c>
      <c r="U4" s="8" t="s">
        <v>124</v>
      </c>
      <c r="V4" s="8" t="s">
        <v>125</v>
      </c>
      <c r="W4" s="8" t="s">
        <v>100</v>
      </c>
      <c r="X4" s="8">
        <v>36</v>
      </c>
      <c r="Y4" s="8">
        <v>12</v>
      </c>
      <c r="Z4" s="8">
        <v>610000</v>
      </c>
      <c r="AA4" s="8" t="s">
        <v>126</v>
      </c>
      <c r="AB4" s="8">
        <v>0.4</v>
      </c>
      <c r="AC4" s="8" t="s">
        <v>127</v>
      </c>
      <c r="AD4" s="8" t="s">
        <v>128</v>
      </c>
      <c r="AE4" s="8">
        <v>752.5</v>
      </c>
      <c r="AF4" s="8">
        <v>107797.14</v>
      </c>
      <c r="AG4" s="8">
        <v>37</v>
      </c>
      <c r="AH4" s="8">
        <v>7726</v>
      </c>
      <c r="AI4" s="8">
        <v>8</v>
      </c>
      <c r="AJ4" s="8" t="s">
        <v>80</v>
      </c>
      <c r="AK4" s="8"/>
      <c r="AL4" s="8" t="s">
        <v>129</v>
      </c>
      <c r="AM4" s="8" t="s">
        <v>81</v>
      </c>
      <c r="AN4" s="8" t="s">
        <v>84</v>
      </c>
      <c r="AO4" s="8"/>
      <c r="AP4" s="8"/>
      <c r="AQ4" s="8">
        <v>3183</v>
      </c>
      <c r="AR4" s="8" t="s">
        <v>130</v>
      </c>
      <c r="AS4" s="8" t="s">
        <v>131</v>
      </c>
      <c r="AT4" s="8"/>
      <c r="AU4" s="8"/>
      <c r="AV4" s="8" t="s">
        <v>132</v>
      </c>
      <c r="AW4" s="8">
        <v>263768</v>
      </c>
    </row>
    <row r="5" spans="1:49" ht="56" x14ac:dyDescent="0.4">
      <c r="A5" s="7" t="s">
        <v>133</v>
      </c>
      <c r="B5" s="8">
        <v>40679714</v>
      </c>
      <c r="C5" s="8" t="s">
        <v>134</v>
      </c>
      <c r="D5" s="8" t="s">
        <v>135</v>
      </c>
      <c r="E5" s="8" t="s">
        <v>136</v>
      </c>
      <c r="F5" s="8">
        <v>83155832862</v>
      </c>
      <c r="G5" s="8"/>
      <c r="H5" s="9">
        <v>45638</v>
      </c>
      <c r="I5" s="8" t="s">
        <v>137</v>
      </c>
      <c r="J5" s="8" t="s">
        <v>138</v>
      </c>
      <c r="K5" s="8" t="s">
        <v>139</v>
      </c>
      <c r="L5" s="8" t="s">
        <v>100</v>
      </c>
      <c r="M5" s="8" t="s">
        <v>140</v>
      </c>
      <c r="N5" s="8" t="s">
        <v>141</v>
      </c>
      <c r="O5" s="8"/>
      <c r="P5" s="8" t="s">
        <v>142</v>
      </c>
      <c r="Q5" s="8">
        <v>2</v>
      </c>
      <c r="R5" s="8">
        <v>660</v>
      </c>
      <c r="S5" s="8">
        <v>64539180</v>
      </c>
      <c r="T5" s="8" t="s">
        <v>100</v>
      </c>
      <c r="U5" s="8" t="s">
        <v>143</v>
      </c>
      <c r="V5" s="8" t="s">
        <v>144</v>
      </c>
      <c r="W5" s="8" t="s">
        <v>145</v>
      </c>
      <c r="X5" s="8">
        <v>3</v>
      </c>
      <c r="Y5" s="8">
        <v>18</v>
      </c>
      <c r="Z5" s="8">
        <v>2313333.33</v>
      </c>
      <c r="AA5" s="8" t="s">
        <v>146</v>
      </c>
      <c r="AB5" s="8">
        <v>0.875</v>
      </c>
      <c r="AC5" s="8" t="s">
        <v>100</v>
      </c>
      <c r="AD5" s="8" t="s">
        <v>147</v>
      </c>
      <c r="AE5" s="8">
        <v>1025.8</v>
      </c>
      <c r="AF5" s="8">
        <v>33533.33</v>
      </c>
      <c r="AG5" s="8">
        <v>145</v>
      </c>
      <c r="AH5" s="8">
        <v>270</v>
      </c>
      <c r="AI5" s="8">
        <v>27</v>
      </c>
      <c r="AJ5" s="8" t="s">
        <v>81</v>
      </c>
      <c r="AK5" s="8" t="s">
        <v>129</v>
      </c>
      <c r="AL5" s="8"/>
      <c r="AM5" s="8" t="s">
        <v>129</v>
      </c>
      <c r="AN5" s="8" t="s">
        <v>148</v>
      </c>
      <c r="AO5" s="8"/>
      <c r="AP5" s="8"/>
      <c r="AQ5" s="8">
        <v>11</v>
      </c>
      <c r="AR5" s="8" t="s">
        <v>149</v>
      </c>
      <c r="AS5" s="8" t="s">
        <v>149</v>
      </c>
      <c r="AT5" s="8"/>
      <c r="AU5" s="8"/>
      <c r="AV5" s="8" t="s">
        <v>150</v>
      </c>
      <c r="AW5" s="8">
        <v>251339</v>
      </c>
    </row>
    <row r="6" spans="1:49" ht="42" x14ac:dyDescent="0.4">
      <c r="A6" s="7" t="s">
        <v>151</v>
      </c>
      <c r="B6" s="8">
        <v>7123851</v>
      </c>
      <c r="C6" s="8" t="s">
        <v>152</v>
      </c>
      <c r="D6" s="8" t="s">
        <v>153</v>
      </c>
      <c r="E6" s="8" t="s">
        <v>154</v>
      </c>
      <c r="F6" s="8">
        <v>82351081112</v>
      </c>
      <c r="G6" s="8"/>
      <c r="H6" s="9">
        <v>45182.33</v>
      </c>
      <c r="I6" s="8" t="s">
        <v>155</v>
      </c>
      <c r="J6" s="8" t="s">
        <v>156</v>
      </c>
      <c r="K6" s="8" t="s">
        <v>157</v>
      </c>
      <c r="L6" s="8" t="s">
        <v>158</v>
      </c>
      <c r="M6" s="8" t="s">
        <v>159</v>
      </c>
      <c r="N6" s="8" t="s">
        <v>160</v>
      </c>
      <c r="O6" s="8"/>
      <c r="P6" s="8" t="s">
        <v>161</v>
      </c>
      <c r="Q6" s="8">
        <v>76</v>
      </c>
      <c r="R6" s="8">
        <v>424</v>
      </c>
      <c r="S6" s="8">
        <v>92460379</v>
      </c>
      <c r="T6" s="8" t="s">
        <v>162</v>
      </c>
      <c r="U6" s="8" t="s">
        <v>77</v>
      </c>
      <c r="V6" s="8" t="s">
        <v>163</v>
      </c>
      <c r="W6" s="8" t="s">
        <v>78</v>
      </c>
      <c r="X6" s="8">
        <v>0</v>
      </c>
      <c r="Y6" s="8">
        <v>7</v>
      </c>
      <c r="Z6" s="8">
        <v>2322500</v>
      </c>
      <c r="AA6" s="8" t="s">
        <v>100</v>
      </c>
      <c r="AB6" s="8">
        <v>0.61538499999999996</v>
      </c>
      <c r="AC6" s="8"/>
      <c r="AD6" s="8" t="s">
        <v>164</v>
      </c>
      <c r="AE6" s="8">
        <v>3195</v>
      </c>
      <c r="AF6" s="8">
        <v>56484.38</v>
      </c>
      <c r="AG6" s="8">
        <v>39</v>
      </c>
      <c r="AH6" s="8">
        <v>1331</v>
      </c>
      <c r="AI6" s="8">
        <v>32</v>
      </c>
      <c r="AJ6" s="8" t="s">
        <v>129</v>
      </c>
      <c r="AK6" s="8" t="s">
        <v>81</v>
      </c>
      <c r="AL6" s="8" t="s">
        <v>79</v>
      </c>
      <c r="AM6" s="8"/>
      <c r="AN6" s="8" t="s">
        <v>165</v>
      </c>
      <c r="AO6" s="8"/>
      <c r="AP6" s="8"/>
      <c r="AQ6" s="8">
        <v>13198</v>
      </c>
      <c r="AR6" s="8" t="s">
        <v>166</v>
      </c>
      <c r="AS6" s="8" t="s">
        <v>167</v>
      </c>
      <c r="AT6" s="8"/>
      <c r="AU6" s="8"/>
      <c r="AV6" s="8" t="s">
        <v>168</v>
      </c>
      <c r="AW6" s="8">
        <v>343491</v>
      </c>
    </row>
    <row r="7" spans="1:49" ht="70" x14ac:dyDescent="0.4">
      <c r="A7" s="7" t="s">
        <v>169</v>
      </c>
      <c r="B7" s="8">
        <v>24984416</v>
      </c>
      <c r="C7" s="8" t="s">
        <v>170</v>
      </c>
      <c r="D7" s="8" t="s">
        <v>171</v>
      </c>
      <c r="E7" s="8" t="s">
        <v>172</v>
      </c>
      <c r="F7" s="8">
        <v>81345348605</v>
      </c>
      <c r="G7" s="8"/>
      <c r="H7" s="9">
        <v>45309</v>
      </c>
      <c r="I7" s="8" t="s">
        <v>173</v>
      </c>
      <c r="J7" s="8" t="s">
        <v>174</v>
      </c>
      <c r="K7" s="8" t="s">
        <v>175</v>
      </c>
      <c r="L7" s="8" t="s">
        <v>176</v>
      </c>
      <c r="M7" s="8" t="s">
        <v>177</v>
      </c>
      <c r="N7" s="8" t="s">
        <v>178</v>
      </c>
      <c r="O7" s="8"/>
      <c r="P7" s="8"/>
      <c r="Q7" s="8">
        <v>10</v>
      </c>
      <c r="R7" s="8">
        <v>2707</v>
      </c>
      <c r="S7" s="8">
        <v>111280001</v>
      </c>
      <c r="T7" s="8" t="s">
        <v>179</v>
      </c>
      <c r="U7" s="8"/>
      <c r="V7" s="8" t="s">
        <v>180</v>
      </c>
      <c r="W7" s="8" t="s">
        <v>181</v>
      </c>
      <c r="X7" s="8">
        <v>28</v>
      </c>
      <c r="Y7" s="8">
        <v>10</v>
      </c>
      <c r="Z7" s="8">
        <v>2513333.33</v>
      </c>
      <c r="AA7" s="8" t="s">
        <v>182</v>
      </c>
      <c r="AB7" s="8">
        <v>0.3</v>
      </c>
      <c r="AC7" s="8"/>
      <c r="AD7" s="8"/>
      <c r="AE7" s="8">
        <v>758.33</v>
      </c>
      <c r="AF7" s="8">
        <v>77452</v>
      </c>
      <c r="AG7" s="8">
        <v>22</v>
      </c>
      <c r="AH7" s="8">
        <v>6661</v>
      </c>
      <c r="AI7" s="8">
        <v>18</v>
      </c>
      <c r="AJ7" s="8"/>
      <c r="AK7" s="8"/>
      <c r="AL7" s="8"/>
      <c r="AM7" s="8"/>
      <c r="AN7" s="8" t="s">
        <v>183</v>
      </c>
      <c r="AO7" s="8"/>
      <c r="AP7" s="8"/>
      <c r="AQ7" s="8">
        <v>11771</v>
      </c>
      <c r="AR7" s="8" t="s">
        <v>184</v>
      </c>
      <c r="AS7" s="8" t="s">
        <v>85</v>
      </c>
      <c r="AT7" s="8"/>
      <c r="AU7" s="8"/>
      <c r="AV7" s="8" t="s">
        <v>185</v>
      </c>
      <c r="AW7" s="8">
        <v>411427</v>
      </c>
    </row>
    <row r="8" spans="1:49" ht="42" x14ac:dyDescent="0.4">
      <c r="A8" s="7" t="s">
        <v>186</v>
      </c>
      <c r="B8" s="8">
        <v>8874143</v>
      </c>
      <c r="C8" s="8" t="s">
        <v>187</v>
      </c>
      <c r="D8" s="8" t="s">
        <v>188</v>
      </c>
      <c r="E8" s="8" t="s">
        <v>189</v>
      </c>
      <c r="F8" s="8">
        <v>82153264646</v>
      </c>
      <c r="G8" s="8"/>
      <c r="H8" s="9">
        <v>42743.5</v>
      </c>
      <c r="I8" s="8" t="s">
        <v>190</v>
      </c>
      <c r="J8" s="8" t="s">
        <v>191</v>
      </c>
      <c r="K8" s="8" t="s">
        <v>192</v>
      </c>
      <c r="L8" s="8" t="s">
        <v>78</v>
      </c>
      <c r="M8" s="8" t="s">
        <v>193</v>
      </c>
      <c r="N8" s="8" t="s">
        <v>194</v>
      </c>
      <c r="O8" s="8"/>
      <c r="P8" s="8"/>
      <c r="Q8" s="8">
        <v>1</v>
      </c>
      <c r="R8" s="8">
        <v>777</v>
      </c>
      <c r="S8" s="8">
        <v>70065479</v>
      </c>
      <c r="T8" s="8" t="s">
        <v>195</v>
      </c>
      <c r="U8" s="8"/>
      <c r="V8" s="8" t="s">
        <v>196</v>
      </c>
      <c r="W8" s="8" t="s">
        <v>197</v>
      </c>
      <c r="X8" s="8">
        <v>12</v>
      </c>
      <c r="Y8" s="8">
        <v>9</v>
      </c>
      <c r="Z8" s="8">
        <v>4757500</v>
      </c>
      <c r="AA8" s="8"/>
      <c r="AB8" s="8">
        <v>0.8</v>
      </c>
      <c r="AC8" s="8"/>
      <c r="AD8" s="8"/>
      <c r="AE8" s="8">
        <v>3369</v>
      </c>
      <c r="AF8" s="8">
        <v>40505.879999999997</v>
      </c>
      <c r="AG8" s="8">
        <v>184</v>
      </c>
      <c r="AH8" s="8">
        <v>3155</v>
      </c>
      <c r="AI8" s="8">
        <v>25</v>
      </c>
      <c r="AJ8" s="8"/>
      <c r="AK8" s="8"/>
      <c r="AL8" s="8"/>
      <c r="AM8" s="8"/>
      <c r="AN8" s="8" t="s">
        <v>198</v>
      </c>
      <c r="AO8" s="8"/>
      <c r="AP8" s="8"/>
      <c r="AQ8" s="8">
        <v>13710</v>
      </c>
      <c r="AR8" s="8" t="s">
        <v>199</v>
      </c>
      <c r="AS8" s="8" t="s">
        <v>200</v>
      </c>
      <c r="AT8" s="8"/>
      <c r="AU8" s="8"/>
      <c r="AV8" s="8" t="s">
        <v>201</v>
      </c>
      <c r="AW8" s="8">
        <v>105178</v>
      </c>
    </row>
    <row r="9" spans="1:49" ht="28" x14ac:dyDescent="0.4">
      <c r="A9" s="7" t="s">
        <v>202</v>
      </c>
      <c r="B9" s="8">
        <v>8910183</v>
      </c>
      <c r="C9" s="8" t="s">
        <v>203</v>
      </c>
      <c r="D9" s="8" t="s">
        <v>204</v>
      </c>
      <c r="E9" s="8" t="s">
        <v>205</v>
      </c>
      <c r="F9" s="8">
        <v>85350741750</v>
      </c>
      <c r="G9" s="8"/>
      <c r="H9" s="9">
        <v>44215.5</v>
      </c>
      <c r="I9" s="8" t="s">
        <v>206</v>
      </c>
      <c r="J9" s="8" t="s">
        <v>207</v>
      </c>
      <c r="K9" s="8" t="s">
        <v>208</v>
      </c>
      <c r="L9" s="8" t="s">
        <v>209</v>
      </c>
      <c r="M9" s="8"/>
      <c r="N9" s="8" t="s">
        <v>210</v>
      </c>
      <c r="O9" s="8"/>
      <c r="P9" s="8"/>
      <c r="Q9" s="8">
        <v>11</v>
      </c>
      <c r="R9" s="8">
        <v>3040</v>
      </c>
      <c r="S9" s="8">
        <v>98407045</v>
      </c>
      <c r="T9" s="8" t="s">
        <v>211</v>
      </c>
      <c r="U9" s="8"/>
      <c r="V9" s="8" t="s">
        <v>76</v>
      </c>
      <c r="W9" s="8" t="s">
        <v>212</v>
      </c>
      <c r="X9" s="8">
        <v>53</v>
      </c>
      <c r="Y9" s="8">
        <v>13</v>
      </c>
      <c r="Z9" s="8">
        <v>2478571.4300000002</v>
      </c>
      <c r="AA9" s="8"/>
      <c r="AB9" s="8">
        <v>0.81818199999999996</v>
      </c>
      <c r="AC9" s="8"/>
      <c r="AD9" s="8"/>
      <c r="AE9" s="8">
        <v>512.66999999999996</v>
      </c>
      <c r="AF9" s="8">
        <v>248555.56</v>
      </c>
      <c r="AG9" s="8">
        <v>25</v>
      </c>
      <c r="AH9" s="8">
        <v>1643</v>
      </c>
      <c r="AI9" s="8">
        <v>10</v>
      </c>
      <c r="AJ9" s="8"/>
      <c r="AK9" s="8"/>
      <c r="AL9" s="8"/>
      <c r="AM9" s="8"/>
      <c r="AN9" s="8" t="s">
        <v>213</v>
      </c>
      <c r="AO9" s="8"/>
      <c r="AP9" s="8"/>
      <c r="AQ9" s="8">
        <v>8459</v>
      </c>
      <c r="AR9" s="8" t="s">
        <v>214</v>
      </c>
      <c r="AS9" s="8" t="s">
        <v>215</v>
      </c>
      <c r="AT9" s="8"/>
      <c r="AU9" s="8"/>
      <c r="AV9" s="8" t="s">
        <v>216</v>
      </c>
      <c r="AW9" s="8">
        <v>406878</v>
      </c>
    </row>
    <row r="10" spans="1:49" ht="42" x14ac:dyDescent="0.4">
      <c r="A10" s="7" t="s">
        <v>217</v>
      </c>
      <c r="B10" s="8">
        <v>37787541</v>
      </c>
      <c r="C10" s="8" t="s">
        <v>218</v>
      </c>
      <c r="D10" s="8" t="s">
        <v>219</v>
      </c>
      <c r="E10" s="8" t="s">
        <v>220</v>
      </c>
      <c r="F10" s="8">
        <v>85245614878</v>
      </c>
      <c r="G10" s="8"/>
      <c r="H10" s="9">
        <v>44671.5</v>
      </c>
      <c r="I10" s="8" t="s">
        <v>221</v>
      </c>
      <c r="J10" s="8" t="s">
        <v>222</v>
      </c>
      <c r="K10" s="8" t="s">
        <v>223</v>
      </c>
      <c r="L10" s="8" t="s">
        <v>224</v>
      </c>
      <c r="M10" s="8"/>
      <c r="N10" s="8" t="s">
        <v>225</v>
      </c>
      <c r="O10" s="8"/>
      <c r="P10" s="8"/>
      <c r="Q10" s="8">
        <v>15</v>
      </c>
      <c r="R10" s="8">
        <v>1191</v>
      </c>
      <c r="S10" s="8">
        <v>66085407</v>
      </c>
      <c r="T10" s="8"/>
      <c r="U10" s="8"/>
      <c r="V10" s="8" t="s">
        <v>226</v>
      </c>
      <c r="W10" s="8"/>
      <c r="X10" s="8">
        <v>24</v>
      </c>
      <c r="Y10" s="8">
        <v>14</v>
      </c>
      <c r="Z10" s="8">
        <v>3871428.57</v>
      </c>
      <c r="AA10" s="8"/>
      <c r="AB10" s="8">
        <v>0.30769200000000002</v>
      </c>
      <c r="AC10" s="8"/>
      <c r="AD10" s="8"/>
      <c r="AE10" s="8">
        <v>649.33000000000004</v>
      </c>
      <c r="AF10" s="8">
        <v>111946.67</v>
      </c>
      <c r="AG10" s="8">
        <v>233</v>
      </c>
      <c r="AH10" s="8">
        <v>49045</v>
      </c>
      <c r="AI10" s="8">
        <v>33</v>
      </c>
      <c r="AJ10" s="8"/>
      <c r="AK10" s="8"/>
      <c r="AL10" s="8"/>
      <c r="AM10" s="8"/>
      <c r="AN10" s="8"/>
      <c r="AO10" s="8"/>
      <c r="AP10" s="8"/>
      <c r="AQ10" s="8">
        <v>9821</v>
      </c>
      <c r="AR10" s="8" t="s">
        <v>227</v>
      </c>
      <c r="AS10" s="8" t="s">
        <v>228</v>
      </c>
      <c r="AT10" s="8"/>
      <c r="AU10" s="8"/>
      <c r="AV10" s="8" t="s">
        <v>229</v>
      </c>
      <c r="AW10" s="8">
        <v>402674</v>
      </c>
    </row>
    <row r="11" spans="1:49" ht="70" x14ac:dyDescent="0.4">
      <c r="A11" s="7" t="s">
        <v>230</v>
      </c>
      <c r="B11" s="8">
        <v>1670216</v>
      </c>
      <c r="C11" s="8"/>
      <c r="D11" s="8" t="s">
        <v>231</v>
      </c>
      <c r="E11" s="8" t="s">
        <v>232</v>
      </c>
      <c r="F11" s="8">
        <v>81907735874</v>
      </c>
      <c r="G11" s="8"/>
      <c r="H11" s="9">
        <v>43449</v>
      </c>
      <c r="I11" s="8" t="s">
        <v>233</v>
      </c>
      <c r="J11" s="8" t="s">
        <v>234</v>
      </c>
      <c r="K11" s="8" t="s">
        <v>235</v>
      </c>
      <c r="L11" s="8" t="s">
        <v>236</v>
      </c>
      <c r="M11" s="8"/>
      <c r="N11" s="8"/>
      <c r="O11" s="8"/>
      <c r="P11" s="8"/>
      <c r="Q11" s="8">
        <v>6</v>
      </c>
      <c r="R11" s="8">
        <v>3377</v>
      </c>
      <c r="S11" s="8">
        <v>55471217</v>
      </c>
      <c r="T11" s="8"/>
      <c r="U11" s="8"/>
      <c r="V11" s="8" t="s">
        <v>237</v>
      </c>
      <c r="W11" s="8"/>
      <c r="X11" s="8">
        <v>17</v>
      </c>
      <c r="Y11" s="8">
        <v>21</v>
      </c>
      <c r="Z11" s="8">
        <v>13414285.710000001</v>
      </c>
      <c r="AA11" s="8"/>
      <c r="AB11" s="8">
        <v>0.1875</v>
      </c>
      <c r="AC11" s="8"/>
      <c r="AD11" s="8"/>
      <c r="AE11" s="8">
        <v>1273.5999999999999</v>
      </c>
      <c r="AF11" s="8">
        <v>20286.36</v>
      </c>
      <c r="AG11" s="8">
        <v>152</v>
      </c>
      <c r="AH11" s="8">
        <v>2801</v>
      </c>
      <c r="AI11" s="8">
        <v>58</v>
      </c>
      <c r="AJ11" s="8"/>
      <c r="AK11" s="8"/>
      <c r="AL11" s="8"/>
      <c r="AM11" s="8"/>
      <c r="AN11" s="8"/>
      <c r="AO11" s="8"/>
      <c r="AP11" s="8"/>
      <c r="AQ11" s="8">
        <v>1914</v>
      </c>
      <c r="AR11" s="8" t="s">
        <v>238</v>
      </c>
      <c r="AS11" s="8" t="s">
        <v>184</v>
      </c>
      <c r="AT11" s="8"/>
      <c r="AU11" s="8"/>
      <c r="AV11" s="8" t="s">
        <v>239</v>
      </c>
      <c r="AW11" s="8">
        <v>622353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E863-FD7A-49E6-83EA-9D26B0E07164}">
  <dimension ref="A2:H9"/>
  <sheetViews>
    <sheetView workbookViewId="0">
      <selection activeCell="E13" sqref="E13"/>
    </sheetView>
  </sheetViews>
  <sheetFormatPr defaultRowHeight="14.5" x14ac:dyDescent="0.35"/>
  <cols>
    <col min="1" max="1" width="10.1796875" bestFit="1" customWidth="1"/>
    <col min="5" max="5" width="9.81640625" bestFit="1" customWidth="1"/>
    <col min="7" max="8" width="16.1796875" bestFit="1" customWidth="1"/>
  </cols>
  <sheetData>
    <row r="2" spans="1:8" x14ac:dyDescent="0.35">
      <c r="B2" t="s">
        <v>240</v>
      </c>
      <c r="C2" t="s">
        <v>241</v>
      </c>
      <c r="D2" t="s">
        <v>242</v>
      </c>
      <c r="E2" t="s">
        <v>243</v>
      </c>
      <c r="F2" t="s">
        <v>244</v>
      </c>
      <c r="G2" t="s">
        <v>245</v>
      </c>
    </row>
    <row r="3" spans="1:8" x14ac:dyDescent="0.35">
      <c r="A3" t="s">
        <v>246</v>
      </c>
      <c r="B3">
        <v>10000</v>
      </c>
      <c r="C3">
        <v>5000</v>
      </c>
      <c r="D3">
        <f>B3-C3</f>
        <v>5000</v>
      </c>
      <c r="E3" s="4">
        <v>45838</v>
      </c>
      <c r="F3" s="4">
        <v>45658</v>
      </c>
      <c r="G3">
        <v>180</v>
      </c>
    </row>
    <row r="6" spans="1:8" x14ac:dyDescent="0.35">
      <c r="A6" t="s">
        <v>247</v>
      </c>
      <c r="B6">
        <v>2000</v>
      </c>
      <c r="C6">
        <v>1000</v>
      </c>
      <c r="D6">
        <f>B6-C6</f>
        <v>1000</v>
      </c>
      <c r="E6" s="4">
        <v>45746</v>
      </c>
      <c r="F6" s="4">
        <v>45658</v>
      </c>
      <c r="G6">
        <v>90</v>
      </c>
    </row>
    <row r="9" spans="1:8" x14ac:dyDescent="0.35">
      <c r="F9" t="s">
        <v>248</v>
      </c>
      <c r="G9" t="s">
        <v>249</v>
      </c>
      <c r="H9" s="3">
        <f>(D3+D6)/(G3+G6)</f>
        <v>22.222222222222221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79E0869A24BE489084AD85645DC850" ma:contentTypeVersion="6" ma:contentTypeDescription="Create a new document." ma:contentTypeScope="" ma:versionID="ceef07efb8ae820f360288acb4fbdac4">
  <xsd:schema xmlns:xsd="http://www.w3.org/2001/XMLSchema" xmlns:xs="http://www.w3.org/2001/XMLSchema" xmlns:p="http://schemas.microsoft.com/office/2006/metadata/properties" xmlns:ns2="30af32cc-668e-4990-a1ab-c7a7e9d73501" xmlns:ns3="15c684eb-4edb-436e-9647-70cc34ff8d25" targetNamespace="http://schemas.microsoft.com/office/2006/metadata/properties" ma:root="true" ma:fieldsID="8eeca286e5e7b76851707634948d9c64" ns2:_="" ns3:_="">
    <xsd:import namespace="30af32cc-668e-4990-a1ab-c7a7e9d73501"/>
    <xsd:import namespace="15c684eb-4edb-436e-9647-70cc34ff8d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f32cc-668e-4990-a1ab-c7a7e9d735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684eb-4edb-436e-9647-70cc34ff8d2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1ADE5B-AF16-4967-BB3C-28AA97D558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af32cc-668e-4990-a1ab-c7a7e9d73501"/>
    <ds:schemaRef ds:uri="15c684eb-4edb-436e-9647-70cc34ff8d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E99631-3EE4-4C96-9D44-5FCD29AC9C4D}">
  <ds:schemaRefs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15c684eb-4edb-436e-9647-70cc34ff8d25"/>
    <ds:schemaRef ds:uri="30af32cc-668e-4990-a1ab-c7a7e9d73501"/>
  </ds:schemaRefs>
</ds:datastoreItem>
</file>

<file path=customXml/itemProps3.xml><?xml version="1.0" encoding="utf-8"?>
<ds:datastoreItem xmlns:ds="http://schemas.openxmlformats.org/officeDocument/2006/customXml" ds:itemID="{6F43ACCA-F498-4E77-B967-4623F87E0B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List customer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Ayu Kusuma Wardani</dc:creator>
  <cp:keywords/>
  <dc:description/>
  <cp:lastModifiedBy>Linda Ayu Kusuma Wardani</cp:lastModifiedBy>
  <cp:revision/>
  <dcterms:created xsi:type="dcterms:W3CDTF">2025-07-28T08:16:52Z</dcterms:created>
  <dcterms:modified xsi:type="dcterms:W3CDTF">2025-10-05T14:15:13Z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f72b66-e0d3-43b8-9221-49005c9b0245_Enabled">
    <vt:lpwstr>true</vt:lpwstr>
  </property>
  <property fmtid="{D5CDD505-2E9C-101B-9397-08002B2CF9AE}" pid="3" name="MSIP_Label_a3f72b66-e0d3-43b8-9221-49005c9b0245_SetDate">
    <vt:lpwstr>2025-07-28T08:17:27Z</vt:lpwstr>
  </property>
  <property fmtid="{D5CDD505-2E9C-101B-9397-08002B2CF9AE}" pid="4" name="MSIP_Label_a3f72b66-e0d3-43b8-9221-49005c9b0245_Method">
    <vt:lpwstr>Privileged</vt:lpwstr>
  </property>
  <property fmtid="{D5CDD505-2E9C-101B-9397-08002B2CF9AE}" pid="5" name="MSIP_Label_a3f72b66-e0d3-43b8-9221-49005c9b0245_Name">
    <vt:lpwstr>INTERNAL</vt:lpwstr>
  </property>
  <property fmtid="{D5CDD505-2E9C-101B-9397-08002B2CF9AE}" pid="6" name="MSIP_Label_a3f72b66-e0d3-43b8-9221-49005c9b0245_SiteId">
    <vt:lpwstr>5a0b86e1-3af7-4d16-a63e-afe55beab795</vt:lpwstr>
  </property>
  <property fmtid="{D5CDD505-2E9C-101B-9397-08002B2CF9AE}" pid="7" name="MSIP_Label_a3f72b66-e0d3-43b8-9221-49005c9b0245_ActionId">
    <vt:lpwstr>d77ea0a6-3528-4eb6-9508-c49520f84f4d</vt:lpwstr>
  </property>
  <property fmtid="{D5CDD505-2E9C-101B-9397-08002B2CF9AE}" pid="8" name="MSIP_Label_a3f72b66-e0d3-43b8-9221-49005c9b0245_ContentBits">
    <vt:lpwstr>1</vt:lpwstr>
  </property>
  <property fmtid="{D5CDD505-2E9C-101B-9397-08002B2CF9AE}" pid="9" name="MSIP_Label_a3f72b66-e0d3-43b8-9221-49005c9b0245_Tag">
    <vt:lpwstr>10, 0, 1, 2</vt:lpwstr>
  </property>
  <property fmtid="{D5CDD505-2E9C-101B-9397-08002B2CF9AE}" pid="10" name="ContentTypeId">
    <vt:lpwstr>0x010100E479E0869A24BE489084AD85645DC850</vt:lpwstr>
  </property>
</Properties>
</file>